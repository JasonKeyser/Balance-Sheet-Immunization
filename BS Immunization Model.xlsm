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threadedComments/threadedComment3.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drawings/drawing4.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6.xml" ContentType="application/vnd.openxmlformats-officedocument.spreadsheetml.comments+xml"/>
  <Override PartName="/xl/threadedComments/threadedComment6.xml" ContentType="application/vnd.ms-excel.threaded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omments7.xml" ContentType="application/vnd.openxmlformats-officedocument.spreadsheetml.comments+xml"/>
  <Override PartName="/xl/threadedComments/threadedComment7.xml" ContentType="application/vnd.ms-excel.threadedcomments+xml"/>
  <Override PartName="/xl/drawings/drawing7.xml" ContentType="application/vnd.openxmlformats-officedocument.drawing+xml"/>
  <Override PartName="/xl/ctrlProps/ctrlProp5.xml" ContentType="application/vnd.ms-excel.controlproperties+xml"/>
  <Override PartName="/xl/comments8.xml" ContentType="application/vnd.openxmlformats-officedocument.spreadsheetml.comments+xml"/>
  <Override PartName="/xl/threadedComments/threadedComment8.xml" ContentType="application/vnd.ms-excel.threadedcomments+xml"/>
  <Override PartName="/xl/drawings/drawing8.xml" ContentType="application/vnd.openxmlformats-officedocument.drawing+xml"/>
  <Override PartName="/xl/ctrlProps/ctrlProp6.xml" ContentType="application/vnd.ms-excel.controlproperties+xml"/>
  <Override PartName="/xl/comments9.xml" ContentType="application/vnd.openxmlformats-officedocument.spreadsheetml.comments+xml"/>
  <Override PartName="/xl/threadedComments/threadedComment9.xml" ContentType="application/vnd.ms-excel.threaded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omments10.xml" ContentType="application/vnd.openxmlformats-officedocument.spreadsheetml.comments+xml"/>
  <Override PartName="/xl/threadedComments/threadedComment10.xml" ContentType="application/vnd.ms-excel.threadedcomments+xml"/>
  <Override PartName="/xl/drawings/drawing9.xml" ContentType="application/vnd.openxmlformats-officedocument.drawing+xml"/>
  <Override PartName="/xl/drawings/drawing10.xml" ContentType="application/vnd.openxmlformats-officedocument.drawing+xml"/>
  <Override PartName="/xl/comments1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2.xml" ContentType="application/vnd.openxmlformats-officedocument.spreadsheetml.comments+xml"/>
  <Override PartName="/xl/threadedComments/threadedComment11.xml" ContentType="application/vnd.ms-excel.threadedcomments+xml"/>
  <Override PartName="/xl/comments13.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Jason Keyser\Documents\Financial Modelling\"/>
    </mc:Choice>
  </mc:AlternateContent>
  <xr:revisionPtr revIDLastSave="0" documentId="13_ncr:1_{7BC92799-A7A0-47A6-9A5B-9FD024407735}" xr6:coauthVersionLast="47" xr6:coauthVersionMax="47" xr10:uidLastSave="{00000000-0000-0000-0000-000000000000}"/>
  <bookViews>
    <workbookView xWindow="-28920" yWindow="-4680" windowWidth="29040" windowHeight="15840" tabRatio="601" firstSheet="13" activeTab="14" xr2:uid="{A2A2209D-4B1F-4F18-89AB-D7B9D57F9F44}"/>
  </bookViews>
  <sheets>
    <sheet name="IS Analysis Full" sheetId="14" state="hidden" r:id="rId1"/>
    <sheet name="IS Old" sheetId="31" state="hidden" r:id="rId2"/>
    <sheet name="Objectives" sheetId="50" state="hidden" r:id="rId3"/>
    <sheet name="Questions" sheetId="51" state="hidden" r:id="rId4"/>
    <sheet name="Cash Flow Old" sheetId="15" state="hidden" r:id="rId5"/>
    <sheet name="MACRS DEP Tables" sheetId="21" state="hidden" r:id="rId6"/>
    <sheet name="PowerPoint Formatting" sheetId="45" state="hidden" r:id="rId7"/>
    <sheet name="Gant Chart Old" sheetId="12" state="hidden" r:id="rId8"/>
    <sheet name="Single Liability Background" sheetId="72" r:id="rId9"/>
    <sheet name="Single Liability Match" sheetId="48" r:id="rId10"/>
    <sheet name="HIC Background" sheetId="56" r:id="rId11"/>
    <sheet name="Hedging Instrument Comparisons" sheetId="54" r:id="rId12"/>
    <sheet name="Life Insurance Model" sheetId="57" state="hidden" r:id="rId13"/>
    <sheet name="Life Insurance Model Background" sheetId="71" r:id="rId14"/>
    <sheet name="Dashboard" sheetId="69" r:id="rId15"/>
    <sheet name="Plan CFs" sheetId="60" r:id="rId16"/>
    <sheet name="Assets" sheetId="67" r:id="rId17"/>
    <sheet name="Liabilities" sheetId="64" r:id="rId18"/>
    <sheet name="Overlay" sheetId="70" r:id="rId19"/>
    <sheet name="Mortality Table" sheetId="58" r:id="rId20"/>
    <sheet name="US Data Center Statistics" sheetId="33" state="hidden" r:id="rId21"/>
    <sheet name="Helper Sheet" sheetId="18" state="hidden" r:id="rId22"/>
    <sheet name="Maintenance Oldl" sheetId="29" state="hidden" r:id="rId23"/>
    <sheet name="Accessories" sheetId="16" state="hidden" r:id="rId24"/>
    <sheet name="SAT 46 LB CO" sheetId="30" state="hidden" r:id="rId25"/>
    <sheet name="LB Burn Hour Info" sheetId="44" state="hidden" r:id="rId26"/>
    <sheet name="Storage Analysis" sheetId="10" state="hidden" r:id="rId27"/>
    <sheet name="IS Analysis Isolated" sheetId="17" state="hidden" r:id="rId28"/>
  </sheets>
  <functionGroups builtInGroupCount="19"/>
  <definedNames>
    <definedName name="ass_dif" localSheetId="16">Assets!#REF!</definedName>
    <definedName name="ass_dif" localSheetId="11">'Hedging Instrument Comparisons'!#REF!</definedName>
    <definedName name="ass_dif" localSheetId="10">'HIC Background'!#REF!</definedName>
    <definedName name="ass_dif" localSheetId="18">Overlay!#REF!</definedName>
    <definedName name="ass_dif">'Single Liability Match'!$B$35</definedName>
    <definedName name="ass_diff" localSheetId="16">Assets!#REF!</definedName>
    <definedName name="ass_diff" localSheetId="11">'Hedging Instrument Comparisons'!#REF!</definedName>
    <definedName name="ass_diff" localSheetId="10">'HIC Background'!#REF!</definedName>
    <definedName name="ass_diff" localSheetId="18">Overlay!#REF!</definedName>
    <definedName name="ass_diff">'Single Liability Match'!$B$35</definedName>
    <definedName name="ass_irr" localSheetId="16">Assets!#REF!</definedName>
    <definedName name="ass_irr" localSheetId="10">'HIC Background'!$B$8</definedName>
    <definedName name="ass_irr">'Single Liability Match'!$B$29</definedName>
    <definedName name="ass_irr2" localSheetId="8">'Single Liability Background'!$B$8</definedName>
    <definedName name="ass_irr2">'Life Insurance Model Background'!$B$8</definedName>
    <definedName name="b1_owned" localSheetId="16">Assets!$B$11</definedName>
    <definedName name="b1_owned">'Single Liability Match'!$B$45</definedName>
    <definedName name="bpv_per_1">Overlay!$D$32</definedName>
    <definedName name="bpv_per_2">Overlay!$D$33</definedName>
    <definedName name="bpv_per_3">Overlay!$D$38</definedName>
    <definedName name="bpv_per_4">Overlay!$D$39</definedName>
    <definedName name="change">Liabilities!$C$11</definedName>
    <definedName name="change_a">Assets!$I$38</definedName>
    <definedName name="discount_rate">Liabilities!$C$4</definedName>
    <definedName name="dur_gap" localSheetId="16">Assets!#REF!</definedName>
    <definedName name="dur_gap">'Single Liability Match'!$B$36</definedName>
    <definedName name="lia_diff" localSheetId="16">Assets!#REF!</definedName>
    <definedName name="lia_diff" localSheetId="11">'Hedging Instrument Comparisons'!#REF!</definedName>
    <definedName name="lia_diff" localSheetId="10">'HIC Background'!#REF!</definedName>
    <definedName name="lia_diff" localSheetId="18">Overlay!#REF!</definedName>
    <definedName name="lia_diff">'Single Liability Match'!$C$35</definedName>
    <definedName name="lia_irr" localSheetId="16">Assets!#REF!</definedName>
    <definedName name="lia_irr" localSheetId="11">'Hedging Instrument Comparisons'!$C$8</definedName>
    <definedName name="lia_irr" localSheetId="10">'HIC Background'!$C$8</definedName>
    <definedName name="lia_irr" localSheetId="18">Overlay!$C$8</definedName>
    <definedName name="lia_irr">'Single Liability Match'!$C$29</definedName>
    <definedName name="np_1">Overlay!$B$32</definedName>
    <definedName name="np_2">Overlay!$B$33</definedName>
    <definedName name="np_3">Overlay!$B$38</definedName>
    <definedName name="np_4">Overlay!$B$39</definedName>
    <definedName name="npv_ass">Assets!$C$8</definedName>
    <definedName name="npv_assets">Assets!$B$10</definedName>
    <definedName name="npv_bonds">Assets!$I$11</definedName>
    <definedName name="npv_liab">Liabilities!$C$8</definedName>
    <definedName name="npv_premiums">Assets!$I$20</definedName>
    <definedName name="og_bpv">Overlay!$H$32</definedName>
    <definedName name="og_bpv_2">Overlay!$H$33</definedName>
    <definedName name="og_bpv_3">Overlay!$H$38</definedName>
    <definedName name="og_bpv_4">Overlay!$H$39</definedName>
    <definedName name="og_np">Overlay!$F$32</definedName>
    <definedName name="og_np_2">Overlay!$F$33</definedName>
    <definedName name="og_np_3">Overlay!$F$38</definedName>
    <definedName name="og_np_4">Overlay!$F$39</definedName>
    <definedName name="og_prem">Overlay!$G$32</definedName>
    <definedName name="og_prem_2">Overlay!$G$33</definedName>
    <definedName name="og_prem_3">Overlay!$G$38</definedName>
    <definedName name="og_prem_4">Overlay!$G$39</definedName>
    <definedName name="og_x">Overlay!$J$32</definedName>
    <definedName name="og_x_2">Overlay!$J$33</definedName>
    <definedName name="og_x_3">Overlay!$J$38</definedName>
    <definedName name="og_x_4">Overlay!$J$39</definedName>
    <definedName name="OpenSolver_ChosenSolver" localSheetId="7" hidden="1">CBC</definedName>
    <definedName name="OpenSolver_DualsNewSheet" localSheetId="7" hidden="1">0</definedName>
    <definedName name="OpenSolver_LinearityCheck" localSheetId="7" hidden="1">1</definedName>
    <definedName name="OpenSolver_UpdateSensitivity" localSheetId="7" hidden="1">1</definedName>
    <definedName name="prem_1">Overlay!$C$32</definedName>
    <definedName name="prem_2">Overlay!$C$33</definedName>
    <definedName name="prem_3">Overlay!$C$38</definedName>
    <definedName name="prem_4">Overlay!$C$39</definedName>
    <definedName name="pv_down">Liabilities!$C$12</definedName>
    <definedName name="pv_down_a">Assets!$I$39</definedName>
    <definedName name="pv_down_b">Assets!$I$13</definedName>
    <definedName name="pv_down_pre">Assets!$I$22</definedName>
    <definedName name="pv_up">Liabilities!$C$13</definedName>
    <definedName name="pv_up_a">Assets!$I$40</definedName>
    <definedName name="pv_up_b">Assets!$I$14</definedName>
    <definedName name="pv_up_pre">Assets!$I$23</definedName>
    <definedName name="solver_adj" localSheetId="7" hidden="1">'Gant Chart Old'!$G$11:$BF$18</definedName>
    <definedName name="solver_cvg" localSheetId="7" hidden="1">0.0001</definedName>
    <definedName name="solver_drv" localSheetId="7" hidden="1">1</definedName>
    <definedName name="solver_eng" localSheetId="7" hidden="1">2</definedName>
    <definedName name="solver_est" localSheetId="7" hidden="1">1</definedName>
    <definedName name="solver_itr" localSheetId="7" hidden="1">2147483647</definedName>
    <definedName name="solver_lhs1" localSheetId="7" hidden="1">'Gant Chart Old'!$G$11:$BF$18</definedName>
    <definedName name="solver_lhs2" localSheetId="7" hidden="1">'Gant Chart Old'!$G$20:$BF$20</definedName>
    <definedName name="solver_lhs3" localSheetId="7" hidden="1">'Gant Chart Old'!$G$23:$BF$23</definedName>
    <definedName name="solver_lhs4" localSheetId="7" hidden="1">'Gant Chart Old'!$G$18:$BF$18</definedName>
    <definedName name="solver_lhs5" localSheetId="7" hidden="1">'Gant Chart Old'!$G$17:$BF$17</definedName>
    <definedName name="solver_lhs6" localSheetId="7" hidden="1">'Gant Chart Old'!$F$13</definedName>
    <definedName name="solver_lhs7" localSheetId="7" hidden="1">'Gant Chart Old'!$F$14</definedName>
    <definedName name="solver_lhs8" localSheetId="7" hidden="1">'Gant Chart Old'!$F$15</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od" localSheetId="7" hidden="1">2147483647</definedName>
    <definedName name="solver_num" localSheetId="7" hidden="1">8</definedName>
    <definedName name="solver_nwt" localSheetId="7" hidden="1">1</definedName>
    <definedName name="solver_opt" localSheetId="7" hidden="1">'Gant Chart Old'!$O$5</definedName>
    <definedName name="solver_pre" localSheetId="7" hidden="1">0.000001</definedName>
    <definedName name="solver_rbv" localSheetId="7" hidden="1">1</definedName>
    <definedName name="solver_rel1" localSheetId="7" hidden="1">4</definedName>
    <definedName name="solver_rel2" localSheetId="7" hidden="1">1</definedName>
    <definedName name="solver_rel3" localSheetId="7" hidden="1">2</definedName>
    <definedName name="solver_rel4" localSheetId="7" hidden="1">1</definedName>
    <definedName name="solver_rel5" localSheetId="7" hidden="1">1</definedName>
    <definedName name="solver_rel6" localSheetId="7" hidden="1">3</definedName>
    <definedName name="solver_rel7" localSheetId="7" hidden="1">3</definedName>
    <definedName name="solver_rel8" localSheetId="7" hidden="1">3</definedName>
    <definedName name="solver_rhs1" localSheetId="7" hidden="1">integer</definedName>
    <definedName name="solver_rhs2" localSheetId="7" hidden="1">'Gant Chart Old'!#REF!</definedName>
    <definedName name="solver_rhs3" localSheetId="7" hidden="1">'Gant Chart Old'!#REF!</definedName>
    <definedName name="solver_rhs4" localSheetId="7" hidden="1">'Gant Chart Old'!$I$4</definedName>
    <definedName name="solver_rhs5" localSheetId="7" hidden="1">'Gant Chart Old'!$I$5</definedName>
    <definedName name="solver_rhs6" localSheetId="7" hidden="1">'Gant Chart Old'!#REF!</definedName>
    <definedName name="solver_rhs7" localSheetId="7" hidden="1">'Gant Chart Old'!#REF!</definedName>
    <definedName name="solver_rhs8" localSheetId="7" hidden="1">'Gant Chart Old'!#REF!</definedName>
    <definedName name="solver_rlx" localSheetId="7" hidden="1">2</definedName>
    <definedName name="solver_rsd" localSheetId="7" hidden="1">0</definedName>
    <definedName name="solver_scl" localSheetId="7" hidden="1">1</definedName>
    <definedName name="solver_sho" localSheetId="7" hidden="1">0</definedName>
    <definedName name="solver_ssz" localSheetId="7" hidden="1">100</definedName>
    <definedName name="solver_tim" localSheetId="7" hidden="1">2147483647</definedName>
    <definedName name="solver_tol" localSheetId="7" hidden="1">0.01</definedName>
    <definedName name="solver_typ" localSheetId="7" hidden="1">1</definedName>
    <definedName name="solver_val" localSheetId="7" hidden="1">0</definedName>
    <definedName name="solver_ver" localSheetId="7" hidden="1">3</definedName>
    <definedName name="x_1">Overlay!$E$32</definedName>
    <definedName name="x_2">Overlay!$E$33</definedName>
    <definedName name="x_3">Overlay!$E$38</definedName>
    <definedName name="x_4">Overlay!$E$39</definedName>
    <definedName name="yield_curve_changes">Dashboard!$E$32:$E$38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2" i="69" l="1"/>
  <c r="H32" i="69" s="1"/>
  <c r="G33" i="69"/>
  <c r="H33" i="69" s="1"/>
  <c r="B39" i="67" s="1"/>
  <c r="B43" i="67" s="1"/>
  <c r="G34" i="69"/>
  <c r="H34" i="69" s="1"/>
  <c r="G35" i="69"/>
  <c r="H35" i="69" s="1"/>
  <c r="G36" i="69"/>
  <c r="H36" i="69" s="1"/>
  <c r="G37" i="69"/>
  <c r="H37" i="69" s="1"/>
  <c r="G38" i="69"/>
  <c r="H38" i="69" s="1"/>
  <c r="H6" i="64"/>
  <c r="B42" i="67" l="1"/>
  <c r="S35" i="67"/>
  <c r="B43" i="70"/>
  <c r="G7" i="60" l="1"/>
  <c r="G8" i="60"/>
  <c r="G9" i="60"/>
  <c r="G10" i="60"/>
  <c r="G11" i="60"/>
  <c r="G12" i="60"/>
  <c r="G13" i="60"/>
  <c r="G14" i="60"/>
  <c r="G15" i="60"/>
  <c r="G6" i="60"/>
  <c r="F23" i="69"/>
  <c r="E24" i="69"/>
  <c r="E23" i="69"/>
  <c r="F24" i="69"/>
  <c r="E9" i="69"/>
  <c r="D24" i="69"/>
  <c r="A38" i="70"/>
  <c r="I30" i="54"/>
  <c r="B16" i="70"/>
  <c r="H42" i="70"/>
  <c r="G42" i="70"/>
  <c r="F42" i="70"/>
  <c r="D23" i="69"/>
  <c r="A32" i="70"/>
  <c r="CC6" i="60"/>
  <c r="I52" i="54"/>
  <c r="D46" i="54"/>
  <c r="B21" i="54"/>
  <c r="B20" i="54"/>
  <c r="C39" i="67"/>
  <c r="C43" i="67" s="1"/>
  <c r="J29" i="67"/>
  <c r="L6" i="60"/>
  <c r="I6" i="60"/>
  <c r="H6" i="60"/>
  <c r="J15" i="60"/>
  <c r="J13" i="60"/>
  <c r="J12" i="60"/>
  <c r="J11" i="60"/>
  <c r="J10" i="60"/>
  <c r="J9" i="60"/>
  <c r="J7" i="60"/>
  <c r="I12" i="67"/>
  <c r="I21" i="67"/>
  <c r="J32" i="67"/>
  <c r="J30" i="67"/>
  <c r="J8" i="67"/>
  <c r="J7" i="67"/>
  <c r="J6" i="67"/>
  <c r="K5" i="67"/>
  <c r="L5" i="67" s="1"/>
  <c r="M5" i="67" s="1"/>
  <c r="N5" i="67" s="1"/>
  <c r="O5" i="67" s="1"/>
  <c r="P5" i="67" s="1"/>
  <c r="Q5" i="67" s="1"/>
  <c r="R5" i="67" s="1"/>
  <c r="S5" i="67" s="1"/>
  <c r="T5" i="67" s="1"/>
  <c r="U5" i="67" s="1"/>
  <c r="V5" i="67" s="1"/>
  <c r="W5" i="67" s="1"/>
  <c r="X5" i="67" s="1"/>
  <c r="Y5" i="67" s="1"/>
  <c r="Z5" i="67" s="1"/>
  <c r="AA5" i="67" s="1"/>
  <c r="AB5" i="67" s="1"/>
  <c r="AC5" i="67" s="1"/>
  <c r="AD5" i="67" s="1"/>
  <c r="AE5" i="67" s="1"/>
  <c r="AF5" i="67" s="1"/>
  <c r="AG5" i="67" s="1"/>
  <c r="AH5" i="67" s="1"/>
  <c r="AI5" i="67" s="1"/>
  <c r="AJ5" i="67" s="1"/>
  <c r="AK5" i="67" s="1"/>
  <c r="AL5" i="67" s="1"/>
  <c r="AM5" i="67" s="1"/>
  <c r="AN5" i="67" s="1"/>
  <c r="AO5" i="67" s="1"/>
  <c r="AP5" i="67" s="1"/>
  <c r="AQ5" i="67" s="1"/>
  <c r="AR5" i="67" s="1"/>
  <c r="AS5" i="67" s="1"/>
  <c r="AT5" i="67" s="1"/>
  <c r="AU5" i="67" s="1"/>
  <c r="AV5" i="67" s="1"/>
  <c r="AW5" i="67" s="1"/>
  <c r="AX5" i="67" s="1"/>
  <c r="AY5" i="67" s="1"/>
  <c r="AZ5" i="67" s="1"/>
  <c r="BA5" i="67" s="1"/>
  <c r="BB5" i="67" s="1"/>
  <c r="BC5" i="67" s="1"/>
  <c r="BD5" i="67" s="1"/>
  <c r="BE5" i="67" s="1"/>
  <c r="BF5" i="67" s="1"/>
  <c r="BG5" i="67" s="1"/>
  <c r="BH5" i="67" s="1"/>
  <c r="BI5" i="67" s="1"/>
  <c r="BJ5" i="67" s="1"/>
  <c r="BK5" i="67" s="1"/>
  <c r="BL5" i="67" s="1"/>
  <c r="BM5" i="67" s="1"/>
  <c r="BN5" i="67" s="1"/>
  <c r="BO5" i="67" s="1"/>
  <c r="BP5" i="67" s="1"/>
  <c r="BQ5" i="67" s="1"/>
  <c r="BR5" i="67" s="1"/>
  <c r="BS5" i="67" s="1"/>
  <c r="BT5" i="67" s="1"/>
  <c r="BU5" i="67" s="1"/>
  <c r="BV5" i="67" s="1"/>
  <c r="K4" i="67"/>
  <c r="L4" i="67" s="1"/>
  <c r="M4" i="67" s="1"/>
  <c r="N4" i="67" s="1"/>
  <c r="N8" i="67" s="1"/>
  <c r="D42" i="67"/>
  <c r="C42" i="67"/>
  <c r="F16" i="60"/>
  <c r="F4" i="64"/>
  <c r="G4" i="64" s="1"/>
  <c r="H4" i="64" s="1"/>
  <c r="I4" i="64" s="1"/>
  <c r="J4" i="64" s="1"/>
  <c r="K4" i="64" s="1"/>
  <c r="L4" i="64" s="1"/>
  <c r="M4" i="64" s="1"/>
  <c r="N4" i="64" s="1"/>
  <c r="O4" i="64" s="1"/>
  <c r="P4" i="64" s="1"/>
  <c r="Q4" i="64" s="1"/>
  <c r="R4" i="64" s="1"/>
  <c r="S4" i="64" s="1"/>
  <c r="T4" i="64" s="1"/>
  <c r="U4" i="64" s="1"/>
  <c r="V4" i="64" s="1"/>
  <c r="W4" i="64" s="1"/>
  <c r="X4" i="64" s="1"/>
  <c r="Y4" i="64" s="1"/>
  <c r="Z4" i="64" s="1"/>
  <c r="AA4" i="64" s="1"/>
  <c r="AB4" i="64" s="1"/>
  <c r="AC4" i="64" s="1"/>
  <c r="AD4" i="64" s="1"/>
  <c r="AE4" i="64" s="1"/>
  <c r="AF4" i="64" s="1"/>
  <c r="AG4" i="64" s="1"/>
  <c r="AH4" i="64" s="1"/>
  <c r="AI4" i="64" s="1"/>
  <c r="AJ4" i="64" s="1"/>
  <c r="AK4" i="64" s="1"/>
  <c r="AL4" i="64" s="1"/>
  <c r="AM4" i="64" s="1"/>
  <c r="AN4" i="64" s="1"/>
  <c r="AO4" i="64" s="1"/>
  <c r="AP4" i="64" s="1"/>
  <c r="AQ4" i="64" s="1"/>
  <c r="AR4" i="64" s="1"/>
  <c r="AS4" i="64" s="1"/>
  <c r="AT4" i="64" s="1"/>
  <c r="AU4" i="64" s="1"/>
  <c r="AV4" i="64" s="1"/>
  <c r="AW4" i="64" s="1"/>
  <c r="AX4" i="64" s="1"/>
  <c r="AY4" i="64" s="1"/>
  <c r="AZ4" i="64" s="1"/>
  <c r="BA4" i="64" s="1"/>
  <c r="BB4" i="64" s="1"/>
  <c r="BC4" i="64" s="1"/>
  <c r="BD4" i="64" s="1"/>
  <c r="BE4" i="64" s="1"/>
  <c r="BF4" i="64" s="1"/>
  <c r="BG4" i="64" s="1"/>
  <c r="BH4" i="64" s="1"/>
  <c r="BI4" i="64" s="1"/>
  <c r="BJ4" i="64" s="1"/>
  <c r="BK4" i="64" s="1"/>
  <c r="BL4" i="64" s="1"/>
  <c r="BM4" i="64" s="1"/>
  <c r="BN4" i="64" s="1"/>
  <c r="BO4" i="64" s="1"/>
  <c r="BP4" i="64" s="1"/>
  <c r="BQ4" i="64" s="1"/>
  <c r="F5" i="64"/>
  <c r="H10" i="60"/>
  <c r="I10" i="60" s="1"/>
  <c r="H7" i="60"/>
  <c r="I7" i="60" s="1"/>
  <c r="H15" i="60"/>
  <c r="I15" i="60" s="1"/>
  <c r="H14" i="60"/>
  <c r="I14" i="60" s="1"/>
  <c r="CC10" i="60" s="1"/>
  <c r="H9" i="60"/>
  <c r="I9" i="60" s="1"/>
  <c r="H8" i="60"/>
  <c r="I8" i="60" s="1"/>
  <c r="CC12" i="60" s="1"/>
  <c r="H12" i="60"/>
  <c r="I12" i="60" s="1"/>
  <c r="H11" i="60"/>
  <c r="I11" i="60" s="1"/>
  <c r="H13" i="60"/>
  <c r="I13" i="60" s="1"/>
  <c r="CD5" i="60"/>
  <c r="N5" i="60"/>
  <c r="O5" i="60" s="1"/>
  <c r="P5" i="60" s="1"/>
  <c r="Q5" i="60" s="1"/>
  <c r="R5" i="60" s="1"/>
  <c r="S5" i="60" s="1"/>
  <c r="T5" i="60" s="1"/>
  <c r="U5" i="60" s="1"/>
  <c r="V5" i="60" s="1"/>
  <c r="W5" i="60" s="1"/>
  <c r="X5" i="60" s="1"/>
  <c r="Y5" i="60" s="1"/>
  <c r="Z5" i="60" s="1"/>
  <c r="AA5" i="60" s="1"/>
  <c r="AB5" i="60" s="1"/>
  <c r="AC5" i="60" s="1"/>
  <c r="AD5" i="60" s="1"/>
  <c r="AE5" i="60" s="1"/>
  <c r="AF5" i="60" s="1"/>
  <c r="AG5" i="60" s="1"/>
  <c r="M5" i="60"/>
  <c r="A23" i="48"/>
  <c r="B20" i="56"/>
  <c r="B21" i="56"/>
  <c r="C22" i="56"/>
  <c r="B16" i="56"/>
  <c r="B8" i="56"/>
  <c r="E30" i="54"/>
  <c r="E20" i="48"/>
  <c r="F20" i="48"/>
  <c r="C22" i="54"/>
  <c r="B8" i="54"/>
  <c r="B16" i="54"/>
  <c r="F30" i="54" s="1"/>
  <c r="A31" i="54"/>
  <c r="A32" i="54" s="1"/>
  <c r="A33" i="54" s="1"/>
  <c r="A34" i="54" s="1"/>
  <c r="A35" i="54" s="1"/>
  <c r="A36" i="54" s="1"/>
  <c r="A37" i="54" s="1"/>
  <c r="A38" i="54" s="1"/>
  <c r="A39" i="54" s="1"/>
  <c r="A40" i="54" s="1"/>
  <c r="A41" i="54" s="1"/>
  <c r="A42" i="54" s="1"/>
  <c r="A43" i="54" s="1"/>
  <c r="A44" i="54" s="1"/>
  <c r="A45" i="54" s="1"/>
  <c r="A46" i="54" s="1"/>
  <c r="D46" i="48"/>
  <c r="D49" i="48" s="1"/>
  <c r="C46" i="48"/>
  <c r="C49" i="48" s="1"/>
  <c r="B46" i="48"/>
  <c r="B49" i="48" s="1"/>
  <c r="D38" i="70" l="1"/>
  <c r="CC11" i="60"/>
  <c r="D39" i="70"/>
  <c r="D33" i="70"/>
  <c r="B26" i="70"/>
  <c r="E39" i="70" s="1"/>
  <c r="B13" i="70"/>
  <c r="D32" i="70"/>
  <c r="CC7" i="60"/>
  <c r="CC15" i="60"/>
  <c r="AW6" i="60"/>
  <c r="AO6" i="60"/>
  <c r="R6" i="60"/>
  <c r="Z6" i="60"/>
  <c r="AH6" i="60"/>
  <c r="AP6" i="60"/>
  <c r="AX6" i="60"/>
  <c r="AZ6" i="60"/>
  <c r="Y6" i="60"/>
  <c r="S6" i="60"/>
  <c r="AA6" i="60"/>
  <c r="AI6" i="60"/>
  <c r="AQ6" i="60"/>
  <c r="AY6" i="60"/>
  <c r="T6" i="60"/>
  <c r="AB6" i="60"/>
  <c r="AJ6" i="60"/>
  <c r="AR6" i="60"/>
  <c r="M6" i="60"/>
  <c r="AC6" i="60"/>
  <c r="AS6" i="60"/>
  <c r="Q6" i="60"/>
  <c r="AK6" i="60"/>
  <c r="U6" i="60"/>
  <c r="N6" i="60"/>
  <c r="V6" i="60"/>
  <c r="AD6" i="60"/>
  <c r="AL6" i="60"/>
  <c r="AT6" i="60"/>
  <c r="O6" i="60"/>
  <c r="W6" i="60"/>
  <c r="AE6" i="60"/>
  <c r="AM6" i="60"/>
  <c r="AU6" i="60"/>
  <c r="P6" i="60"/>
  <c r="X6" i="60"/>
  <c r="AF6" i="60"/>
  <c r="AN6" i="60"/>
  <c r="AV6" i="60"/>
  <c r="AG6" i="60"/>
  <c r="M29" i="67"/>
  <c r="K30" i="67"/>
  <c r="K32" i="67"/>
  <c r="J35" i="67"/>
  <c r="N32" i="67"/>
  <c r="N30" i="67"/>
  <c r="L29" i="67"/>
  <c r="K35" i="67"/>
  <c r="M32" i="67"/>
  <c r="M30" i="67"/>
  <c r="L32" i="67"/>
  <c r="L30" i="67"/>
  <c r="D39" i="67"/>
  <c r="D43" i="67" s="1"/>
  <c r="B8" i="67" s="1"/>
  <c r="N29" i="67"/>
  <c r="N35" i="67"/>
  <c r="K29" i="67"/>
  <c r="J31" i="67"/>
  <c r="J33" i="67" s="1"/>
  <c r="J34" i="67" s="1"/>
  <c r="K7" i="67"/>
  <c r="L6" i="67"/>
  <c r="J9" i="67"/>
  <c r="L7" i="67"/>
  <c r="K8" i="67"/>
  <c r="M7" i="67"/>
  <c r="L8" i="67"/>
  <c r="N6" i="67"/>
  <c r="N7" i="67"/>
  <c r="M8" i="67"/>
  <c r="M6" i="67"/>
  <c r="K6" i="67"/>
  <c r="O4" i="67"/>
  <c r="O29" i="67" s="1"/>
  <c r="CC9" i="60"/>
  <c r="CC8" i="60"/>
  <c r="CC13" i="60"/>
  <c r="G5" i="64"/>
  <c r="M14" i="60"/>
  <c r="CC14" i="60"/>
  <c r="AD14" i="60"/>
  <c r="CD9" i="60"/>
  <c r="CD14" i="60"/>
  <c r="CD15" i="60"/>
  <c r="CD12" i="60"/>
  <c r="CD8" i="60"/>
  <c r="CD13" i="60"/>
  <c r="CD10" i="60"/>
  <c r="CD6" i="60"/>
  <c r="CD7" i="60"/>
  <c r="CD11" i="60"/>
  <c r="N8" i="60"/>
  <c r="S8" i="60"/>
  <c r="Y9" i="60"/>
  <c r="AD13" i="60"/>
  <c r="AA13" i="60"/>
  <c r="M13" i="60"/>
  <c r="AC10" i="60"/>
  <c r="U10" i="60"/>
  <c r="M10" i="60"/>
  <c r="O10" i="60"/>
  <c r="AD10" i="60"/>
  <c r="AB10" i="60"/>
  <c r="T10" i="60"/>
  <c r="L10" i="60"/>
  <c r="AE10" i="60"/>
  <c r="AA10" i="60"/>
  <c r="S10" i="60"/>
  <c r="Z10" i="60"/>
  <c r="R10" i="60"/>
  <c r="W10" i="60"/>
  <c r="V10" i="60"/>
  <c r="AG10" i="60"/>
  <c r="Y10" i="60"/>
  <c r="Q10" i="60"/>
  <c r="N10" i="60"/>
  <c r="AF10" i="60"/>
  <c r="X10" i="60"/>
  <c r="P10" i="60"/>
  <c r="R7" i="60"/>
  <c r="M7" i="60"/>
  <c r="L7" i="60"/>
  <c r="T7" i="60"/>
  <c r="AC7" i="60"/>
  <c r="AB7" i="60"/>
  <c r="Z7" i="60"/>
  <c r="U7" i="60"/>
  <c r="AC12" i="60"/>
  <c r="U8" i="60"/>
  <c r="AB14" i="60"/>
  <c r="V8" i="60"/>
  <c r="AA8" i="60"/>
  <c r="W15" i="60"/>
  <c r="AC8" i="60"/>
  <c r="M12" i="60"/>
  <c r="X15" i="60"/>
  <c r="AD8" i="60"/>
  <c r="Q9" i="60"/>
  <c r="R12" i="60"/>
  <c r="M8" i="60"/>
  <c r="W9" i="60"/>
  <c r="T12" i="60"/>
  <c r="AF11" i="60"/>
  <c r="X11" i="60"/>
  <c r="P11" i="60"/>
  <c r="AE11" i="60"/>
  <c r="W11" i="60"/>
  <c r="O11" i="60"/>
  <c r="AD11" i="60"/>
  <c r="V11" i="60"/>
  <c r="N11" i="60"/>
  <c r="AC11" i="60"/>
  <c r="U11" i="60"/>
  <c r="M11" i="60"/>
  <c r="AH11" i="60"/>
  <c r="Z11" i="60"/>
  <c r="R11" i="60"/>
  <c r="V7" i="60"/>
  <c r="O8" i="60"/>
  <c r="W8" i="60"/>
  <c r="AE8" i="60"/>
  <c r="Z9" i="60"/>
  <c r="Y11" i="60"/>
  <c r="N13" i="60"/>
  <c r="L14" i="60"/>
  <c r="AE14" i="60"/>
  <c r="AC15" i="60"/>
  <c r="S11" i="60"/>
  <c r="N7" i="60"/>
  <c r="AD9" i="60"/>
  <c r="V9" i="60"/>
  <c r="N9" i="60"/>
  <c r="AC9" i="60"/>
  <c r="U9" i="60"/>
  <c r="M9" i="60"/>
  <c r="AB9" i="60"/>
  <c r="T9" i="60"/>
  <c r="L9" i="60"/>
  <c r="AA9" i="60"/>
  <c r="S9" i="60"/>
  <c r="AF9" i="60"/>
  <c r="X9" i="60"/>
  <c r="P9" i="60"/>
  <c r="O7" i="60"/>
  <c r="W7" i="60"/>
  <c r="AE7" i="60"/>
  <c r="P8" i="60"/>
  <c r="X8" i="60"/>
  <c r="AF8" i="60"/>
  <c r="AE9" i="60"/>
  <c r="AA11" i="60"/>
  <c r="U12" i="60"/>
  <c r="S13" i="60"/>
  <c r="N14" i="60"/>
  <c r="AE15" i="60"/>
  <c r="AG9" i="60"/>
  <c r="AB11" i="60"/>
  <c r="Z12" i="60"/>
  <c r="U13" i="60"/>
  <c r="O14" i="60"/>
  <c r="M15" i="60"/>
  <c r="AF15" i="60"/>
  <c r="T11" i="60"/>
  <c r="AD7" i="60"/>
  <c r="AB15" i="60"/>
  <c r="T15" i="60"/>
  <c r="L15" i="60"/>
  <c r="AA15" i="60"/>
  <c r="S15" i="60"/>
  <c r="AH15" i="60"/>
  <c r="Z15" i="60"/>
  <c r="R15" i="60"/>
  <c r="AG15" i="60"/>
  <c r="Y15" i="60"/>
  <c r="Q15" i="60"/>
  <c r="AD15" i="60"/>
  <c r="V15" i="60"/>
  <c r="N15" i="60"/>
  <c r="AA14" i="60"/>
  <c r="S14" i="60"/>
  <c r="Z14" i="60"/>
  <c r="R14" i="60"/>
  <c r="AG14" i="60"/>
  <c r="Y14" i="60"/>
  <c r="Q14" i="60"/>
  <c r="AF14" i="60"/>
  <c r="X14" i="60"/>
  <c r="P14" i="60"/>
  <c r="AC14" i="60"/>
  <c r="U14" i="60"/>
  <c r="P7" i="60"/>
  <c r="X7" i="60"/>
  <c r="AF7" i="60"/>
  <c r="Q8" i="60"/>
  <c r="Y8" i="60"/>
  <c r="AG8" i="60"/>
  <c r="Z13" i="60"/>
  <c r="R13" i="60"/>
  <c r="AG13" i="60"/>
  <c r="Y13" i="60"/>
  <c r="Q13" i="60"/>
  <c r="AF13" i="60"/>
  <c r="X13" i="60"/>
  <c r="P13" i="60"/>
  <c r="AE13" i="60"/>
  <c r="W13" i="60"/>
  <c r="O13" i="60"/>
  <c r="AB13" i="60"/>
  <c r="T13" i="60"/>
  <c r="L13" i="60"/>
  <c r="Q7" i="60"/>
  <c r="Y7" i="60"/>
  <c r="AG7" i="60"/>
  <c r="R8" i="60"/>
  <c r="Z8" i="60"/>
  <c r="O9" i="60"/>
  <c r="AG11" i="60"/>
  <c r="AB12" i="60"/>
  <c r="V13" i="60"/>
  <c r="T14" i="60"/>
  <c r="O15" i="60"/>
  <c r="P15" i="60"/>
  <c r="L11" i="60"/>
  <c r="V14" i="60"/>
  <c r="AG12" i="60"/>
  <c r="Y12" i="60"/>
  <c r="Q12" i="60"/>
  <c r="AF12" i="60"/>
  <c r="X12" i="60"/>
  <c r="P12" i="60"/>
  <c r="AE12" i="60"/>
  <c r="W12" i="60"/>
  <c r="O12" i="60"/>
  <c r="AD12" i="60"/>
  <c r="V12" i="60"/>
  <c r="N12" i="60"/>
  <c r="AA12" i="60"/>
  <c r="S12" i="60"/>
  <c r="S7" i="60"/>
  <c r="AA7" i="60"/>
  <c r="L8" i="60"/>
  <c r="T8" i="60"/>
  <c r="AB8" i="60"/>
  <c r="R9" i="60"/>
  <c r="Q11" i="60"/>
  <c r="L12" i="60"/>
  <c r="AC13" i="60"/>
  <c r="W14" i="60"/>
  <c r="U15" i="60"/>
  <c r="CE5" i="60"/>
  <c r="AH5" i="60"/>
  <c r="AH7" i="60" s="1"/>
  <c r="C21" i="56"/>
  <c r="C23" i="56" s="1"/>
  <c r="I44" i="54"/>
  <c r="E46" i="54"/>
  <c r="H46" i="54"/>
  <c r="I46" i="54"/>
  <c r="I38" i="54"/>
  <c r="I45" i="54"/>
  <c r="I37" i="54"/>
  <c r="I36" i="54"/>
  <c r="I32" i="54"/>
  <c r="I39" i="54"/>
  <c r="I31" i="54"/>
  <c r="I43" i="54"/>
  <c r="I35" i="54"/>
  <c r="I40" i="54"/>
  <c r="I42" i="54"/>
  <c r="I34" i="54"/>
  <c r="I41" i="54"/>
  <c r="I33" i="54"/>
  <c r="F46" i="54"/>
  <c r="A47" i="54"/>
  <c r="H30" i="54"/>
  <c r="C21" i="54"/>
  <c r="C23" i="54" s="1"/>
  <c r="G46" i="54"/>
  <c r="H45" i="54"/>
  <c r="E42" i="54"/>
  <c r="F31" i="54"/>
  <c r="E41" i="54"/>
  <c r="F42" i="54"/>
  <c r="H42" i="54"/>
  <c r="E39" i="54"/>
  <c r="F41" i="54"/>
  <c r="H38" i="54"/>
  <c r="E38" i="54"/>
  <c r="F39" i="54"/>
  <c r="H33" i="54"/>
  <c r="E37" i="54"/>
  <c r="F38" i="54"/>
  <c r="E34" i="54"/>
  <c r="F37" i="54"/>
  <c r="E33" i="54"/>
  <c r="F34" i="54"/>
  <c r="E45" i="54"/>
  <c r="E31" i="54"/>
  <c r="F33" i="54"/>
  <c r="E44" i="54"/>
  <c r="E36" i="54"/>
  <c r="F44" i="54"/>
  <c r="F36" i="54"/>
  <c r="H44" i="54"/>
  <c r="H36" i="54"/>
  <c r="F45" i="54"/>
  <c r="H37" i="54"/>
  <c r="E43" i="54"/>
  <c r="E35" i="54"/>
  <c r="F43" i="54"/>
  <c r="F35" i="54"/>
  <c r="H43" i="54"/>
  <c r="H34" i="54"/>
  <c r="H41" i="54"/>
  <c r="H32" i="54"/>
  <c r="E40" i="54"/>
  <c r="E32" i="54"/>
  <c r="F40" i="54"/>
  <c r="F32" i="54"/>
  <c r="H40" i="54"/>
  <c r="H31" i="54"/>
  <c r="H39" i="54"/>
  <c r="H35" i="54"/>
  <c r="C34" i="48"/>
  <c r="B34" i="48"/>
  <c r="E38" i="70" l="1"/>
  <c r="O16" i="60"/>
  <c r="I32" i="70"/>
  <c r="G23" i="69" s="1"/>
  <c r="I38" i="70"/>
  <c r="G24" i="69" s="1"/>
  <c r="E7" i="64"/>
  <c r="H8" i="64" s="1"/>
  <c r="J11" i="67"/>
  <c r="I7" i="64"/>
  <c r="F7" i="64"/>
  <c r="N31" i="67"/>
  <c r="N33" i="67" s="1"/>
  <c r="N34" i="67" s="1"/>
  <c r="L31" i="67"/>
  <c r="L33" i="67" s="1"/>
  <c r="L34" i="67" s="1"/>
  <c r="L35" i="67" s="1"/>
  <c r="M31" i="67"/>
  <c r="M33" i="67" s="1"/>
  <c r="M34" i="67" s="1"/>
  <c r="M35" i="67" s="1"/>
  <c r="H7" i="64" s="1"/>
  <c r="K31" i="67"/>
  <c r="K33" i="67" s="1"/>
  <c r="K34" i="67" s="1"/>
  <c r="O30" i="67"/>
  <c r="O31" i="67" s="1"/>
  <c r="O32" i="67"/>
  <c r="M9" i="67"/>
  <c r="N9" i="67"/>
  <c r="P4" i="67"/>
  <c r="O7" i="67"/>
  <c r="O6" i="67"/>
  <c r="O8" i="67"/>
  <c r="K9" i="67"/>
  <c r="L9" i="67"/>
  <c r="H5" i="64"/>
  <c r="G42" i="54"/>
  <c r="B42" i="54" s="1"/>
  <c r="AH12" i="60"/>
  <c r="AH9" i="60"/>
  <c r="AH10" i="60"/>
  <c r="AH14" i="60"/>
  <c r="CE15" i="60"/>
  <c r="CE11" i="60"/>
  <c r="CE13" i="60"/>
  <c r="CE9" i="60"/>
  <c r="CE10" i="60"/>
  <c r="CE14" i="60"/>
  <c r="CE7" i="60"/>
  <c r="CE6" i="60"/>
  <c r="CE12" i="60"/>
  <c r="CE8" i="60"/>
  <c r="AH13" i="60"/>
  <c r="AH8" i="60"/>
  <c r="CC16" i="60"/>
  <c r="CD16" i="60"/>
  <c r="K18" i="67" s="1"/>
  <c r="AG16" i="60"/>
  <c r="CF5" i="60"/>
  <c r="AI5" i="60"/>
  <c r="G43" i="54"/>
  <c r="B43" i="54" s="1"/>
  <c r="G37" i="54"/>
  <c r="G44" i="54"/>
  <c r="B44" i="54" s="1"/>
  <c r="G38" i="54"/>
  <c r="B38" i="54" s="1"/>
  <c r="G31" i="54"/>
  <c r="B31" i="54" s="1"/>
  <c r="G35" i="54"/>
  <c r="B35" i="54" s="1"/>
  <c r="G41" i="54"/>
  <c r="B41" i="54" s="1"/>
  <c r="C20" i="56"/>
  <c r="G39" i="54"/>
  <c r="G40" i="54"/>
  <c r="B40" i="54" s="1"/>
  <c r="C30" i="54"/>
  <c r="G32" i="54"/>
  <c r="B32" i="54" s="1"/>
  <c r="G36" i="54"/>
  <c r="B36" i="54" s="1"/>
  <c r="G33" i="54"/>
  <c r="B33" i="54" s="1"/>
  <c r="G34" i="54"/>
  <c r="B34" i="54" s="1"/>
  <c r="G45" i="54"/>
  <c r="B45" i="54" s="1"/>
  <c r="D42" i="54"/>
  <c r="C46" i="54"/>
  <c r="D33" i="54"/>
  <c r="D37" i="54"/>
  <c r="D45" i="54"/>
  <c r="B46" i="54"/>
  <c r="D30" i="54"/>
  <c r="D31" i="54"/>
  <c r="D38" i="54"/>
  <c r="D32" i="54"/>
  <c r="D35" i="54"/>
  <c r="D36" i="54"/>
  <c r="D34" i="54"/>
  <c r="D39" i="54"/>
  <c r="D40" i="54"/>
  <c r="D43" i="54"/>
  <c r="D44" i="54"/>
  <c r="D41" i="54"/>
  <c r="F47" i="54"/>
  <c r="G47" i="54"/>
  <c r="H47" i="54"/>
  <c r="I47" i="54"/>
  <c r="E47" i="54"/>
  <c r="A48" i="54"/>
  <c r="A49" i="54" s="1"/>
  <c r="C20" i="54"/>
  <c r="G30" i="54"/>
  <c r="B30" i="54" s="1"/>
  <c r="C33" i="54"/>
  <c r="C39" i="54"/>
  <c r="C42" i="54"/>
  <c r="C38" i="54"/>
  <c r="C35" i="54"/>
  <c r="C43" i="54"/>
  <c r="C37" i="54"/>
  <c r="C31" i="54"/>
  <c r="C41" i="54"/>
  <c r="C32" i="54"/>
  <c r="C36" i="54"/>
  <c r="C40" i="54"/>
  <c r="C44" i="54"/>
  <c r="C34" i="54"/>
  <c r="B37" i="54"/>
  <c r="C45" i="54"/>
  <c r="B39" i="54"/>
  <c r="D19" i="48"/>
  <c r="D20" i="48"/>
  <c r="C20" i="48"/>
  <c r="F21" i="48"/>
  <c r="E21" i="48"/>
  <c r="D21" i="48"/>
  <c r="B23" i="48"/>
  <c r="C21" i="48"/>
  <c r="B20" i="48"/>
  <c r="B21" i="48"/>
  <c r="A20" i="48"/>
  <c r="A21" i="48"/>
  <c r="C8" i="48"/>
  <c r="C7" i="48"/>
  <c r="D43" i="48" s="1"/>
  <c r="J8" i="45"/>
  <c r="D5" i="45"/>
  <c r="O33" i="67" l="1"/>
  <c r="O34" i="67" s="1"/>
  <c r="O35" i="67" s="1"/>
  <c r="I42" i="70"/>
  <c r="E7" i="69" s="1"/>
  <c r="B14" i="70"/>
  <c r="E32" i="70" s="1"/>
  <c r="B15" i="70"/>
  <c r="E33" i="70" s="1"/>
  <c r="J18" i="67"/>
  <c r="J20" i="67" s="1"/>
  <c r="K20" i="67"/>
  <c r="K27" i="67"/>
  <c r="K36" i="67" s="1"/>
  <c r="AD16" i="60"/>
  <c r="AD68" i="60" s="1"/>
  <c r="AF16" i="60"/>
  <c r="Y6" i="64" s="1"/>
  <c r="Y8" i="64" s="1"/>
  <c r="K11" i="67"/>
  <c r="N11" i="67"/>
  <c r="G7" i="64"/>
  <c r="L11" i="67"/>
  <c r="M11" i="67"/>
  <c r="P30" i="67"/>
  <c r="P32" i="67"/>
  <c r="P29" i="67"/>
  <c r="O9" i="67"/>
  <c r="Q4" i="67"/>
  <c r="P6" i="67"/>
  <c r="P8" i="67"/>
  <c r="P7" i="67"/>
  <c r="AG68" i="60"/>
  <c r="Z6" i="64"/>
  <c r="Z8" i="64" s="1"/>
  <c r="AH16" i="60"/>
  <c r="I5" i="64"/>
  <c r="J5" i="64" s="1"/>
  <c r="CF11" i="60"/>
  <c r="CF12" i="60"/>
  <c r="CF10" i="60"/>
  <c r="CF15" i="60"/>
  <c r="CF14" i="60"/>
  <c r="CF6" i="60"/>
  <c r="CF8" i="60"/>
  <c r="CF13" i="60"/>
  <c r="CF9" i="60"/>
  <c r="CF7" i="60"/>
  <c r="AI8" i="60"/>
  <c r="AI15" i="60"/>
  <c r="AI7" i="60"/>
  <c r="AI9" i="60"/>
  <c r="AI10" i="60"/>
  <c r="AI12" i="60"/>
  <c r="AI14" i="60"/>
  <c r="AI13" i="60"/>
  <c r="AI11" i="60"/>
  <c r="CG5" i="60"/>
  <c r="CE16" i="60"/>
  <c r="L18" i="67" s="1"/>
  <c r="AJ5" i="60"/>
  <c r="E49" i="54"/>
  <c r="G49" i="54"/>
  <c r="F49" i="54"/>
  <c r="A50" i="54"/>
  <c r="H49" i="54"/>
  <c r="I49" i="54"/>
  <c r="C47" i="54"/>
  <c r="D47" i="54"/>
  <c r="B47" i="54"/>
  <c r="G48" i="54"/>
  <c r="H48" i="54"/>
  <c r="I48" i="54"/>
  <c r="E48" i="54"/>
  <c r="F48" i="54"/>
  <c r="D47" i="48"/>
  <c r="E7" i="48" s="1"/>
  <c r="C43" i="48"/>
  <c r="C47" i="48" s="1"/>
  <c r="F19" i="48"/>
  <c r="F18" i="48" s="1"/>
  <c r="C19" i="48"/>
  <c r="C18" i="48" s="1"/>
  <c r="E19" i="48"/>
  <c r="E18" i="48" s="1"/>
  <c r="A22" i="48"/>
  <c r="C6" i="48"/>
  <c r="B43" i="48" s="1"/>
  <c r="B47" i="48" s="1"/>
  <c r="B19" i="48"/>
  <c r="B22" i="48"/>
  <c r="A19" i="48"/>
  <c r="D18" i="48"/>
  <c r="D4" i="45"/>
  <c r="E6" i="48" l="1"/>
  <c r="B28" i="48"/>
  <c r="W6" i="64"/>
  <c r="W8" i="64" s="1"/>
  <c r="J27" i="67"/>
  <c r="J36" i="67" s="1"/>
  <c r="AF68" i="60"/>
  <c r="L20" i="67"/>
  <c r="L27" i="67"/>
  <c r="L36" i="67" s="1"/>
  <c r="AE16" i="60"/>
  <c r="J7" i="64"/>
  <c r="O11" i="67"/>
  <c r="P31" i="67"/>
  <c r="P33" i="67" s="1"/>
  <c r="P34" i="67" s="1"/>
  <c r="P35" i="67" s="1"/>
  <c r="Q30" i="67"/>
  <c r="Q32" i="67"/>
  <c r="Q29" i="67"/>
  <c r="P9" i="67"/>
  <c r="R4" i="67"/>
  <c r="Q6" i="67"/>
  <c r="Q8" i="67"/>
  <c r="Q7" i="67"/>
  <c r="AH68" i="60"/>
  <c r="AA6" i="64"/>
  <c r="AA8" i="64" s="1"/>
  <c r="K5" i="64"/>
  <c r="AJ10" i="60"/>
  <c r="AJ12" i="60"/>
  <c r="AJ7" i="60"/>
  <c r="AJ9" i="60"/>
  <c r="AJ13" i="60"/>
  <c r="AJ8" i="60"/>
  <c r="AJ14" i="60"/>
  <c r="AJ15" i="60"/>
  <c r="AJ11" i="60"/>
  <c r="AI16" i="60"/>
  <c r="AB6" i="64" s="1"/>
  <c r="AB8" i="64" s="1"/>
  <c r="CG12" i="60"/>
  <c r="CG13" i="60"/>
  <c r="CG15" i="60"/>
  <c r="CG14" i="60"/>
  <c r="CG11" i="60"/>
  <c r="CG9" i="60"/>
  <c r="CG8" i="60"/>
  <c r="CG10" i="60"/>
  <c r="CG7" i="60"/>
  <c r="CG6" i="60"/>
  <c r="CH5" i="60"/>
  <c r="CF16" i="60"/>
  <c r="M18" i="67" s="1"/>
  <c r="AK5" i="60"/>
  <c r="C49" i="54"/>
  <c r="G50" i="54"/>
  <c r="F50" i="54"/>
  <c r="E50" i="54"/>
  <c r="A51" i="54"/>
  <c r="I50" i="54"/>
  <c r="H50" i="54"/>
  <c r="B49" i="54"/>
  <c r="D49" i="54"/>
  <c r="B48" i="54"/>
  <c r="C48" i="54"/>
  <c r="D48" i="54"/>
  <c r="C28" i="48"/>
  <c r="E8" i="48"/>
  <c r="B18" i="48"/>
  <c r="A18" i="48"/>
  <c r="D6" i="45"/>
  <c r="M27" i="67" l="1"/>
  <c r="M36" i="67" s="1"/>
  <c r="M20" i="67"/>
  <c r="AC16" i="60"/>
  <c r="AB16" i="60"/>
  <c r="AE68" i="60"/>
  <c r="X6" i="64"/>
  <c r="X8" i="64" s="1"/>
  <c r="K7" i="64"/>
  <c r="P11" i="67"/>
  <c r="Q31" i="67"/>
  <c r="Q33" i="67" s="1"/>
  <c r="Q34" i="67" s="1"/>
  <c r="Q35" i="67" s="1"/>
  <c r="R30" i="67"/>
  <c r="R32" i="67"/>
  <c r="R29" i="67"/>
  <c r="Q9" i="67"/>
  <c r="S4" i="67"/>
  <c r="R8" i="67"/>
  <c r="R7" i="67"/>
  <c r="R6" i="67"/>
  <c r="L5" i="64"/>
  <c r="CH11" i="60"/>
  <c r="CH13" i="60"/>
  <c r="CH14" i="60"/>
  <c r="CH12" i="60"/>
  <c r="CH10" i="60"/>
  <c r="CH8" i="60"/>
  <c r="CH9" i="60"/>
  <c r="CH7" i="60"/>
  <c r="CH15" i="60"/>
  <c r="CH6" i="60"/>
  <c r="AJ16" i="60"/>
  <c r="AI68" i="60"/>
  <c r="AK8" i="60"/>
  <c r="AK9" i="60"/>
  <c r="AK12" i="60"/>
  <c r="AK13" i="60"/>
  <c r="AK10" i="60"/>
  <c r="AK7" i="60"/>
  <c r="AK11" i="60"/>
  <c r="AK14" i="60"/>
  <c r="AK15" i="60"/>
  <c r="CG16" i="60"/>
  <c r="N18" i="67" s="1"/>
  <c r="CI5" i="60"/>
  <c r="AL5" i="60"/>
  <c r="C35" i="48"/>
  <c r="D50" i="48"/>
  <c r="F13" i="48"/>
  <c r="F12" i="48" s="1"/>
  <c r="B50" i="48"/>
  <c r="C50" i="48"/>
  <c r="A52" i="54"/>
  <c r="I51" i="54"/>
  <c r="G51" i="54"/>
  <c r="H51" i="54"/>
  <c r="E51" i="54"/>
  <c r="F51" i="54"/>
  <c r="D50" i="54"/>
  <c r="B50" i="54"/>
  <c r="C50" i="54"/>
  <c r="D21" i="44"/>
  <c r="D7" i="44"/>
  <c r="F7" i="44" s="1"/>
  <c r="E29" i="44"/>
  <c r="F29" i="44" s="1"/>
  <c r="E22" i="44"/>
  <c r="F22" i="44" s="1"/>
  <c r="E21" i="44"/>
  <c r="D22" i="44"/>
  <c r="D23" i="44"/>
  <c r="F23" i="44" s="1"/>
  <c r="F21" i="44"/>
  <c r="D9" i="44"/>
  <c r="F9" i="44" s="1"/>
  <c r="D8" i="44"/>
  <c r="F8" i="44" s="1"/>
  <c r="N20" i="67" l="1"/>
  <c r="N27" i="67"/>
  <c r="N36" i="67" s="1"/>
  <c r="AA16" i="60"/>
  <c r="AB68" i="60"/>
  <c r="U6" i="64"/>
  <c r="U8" i="64" s="1"/>
  <c r="Z16" i="60"/>
  <c r="AC68" i="60"/>
  <c r="V6" i="64"/>
  <c r="V8" i="64" s="1"/>
  <c r="L7" i="64"/>
  <c r="Q11" i="67"/>
  <c r="R31" i="67"/>
  <c r="R33" i="67" s="1"/>
  <c r="R34" i="67" s="1"/>
  <c r="R35" i="67" s="1"/>
  <c r="S30" i="67"/>
  <c r="S32" i="67"/>
  <c r="S29" i="67"/>
  <c r="R9" i="67"/>
  <c r="T4" i="67"/>
  <c r="S8" i="67"/>
  <c r="S6" i="67"/>
  <c r="S7" i="67"/>
  <c r="AJ68" i="60"/>
  <c r="AC6" i="64"/>
  <c r="M5" i="64"/>
  <c r="AK16" i="60"/>
  <c r="AD6" i="64" s="1"/>
  <c r="AD8" i="64" s="1"/>
  <c r="AL9" i="60"/>
  <c r="AL13" i="60"/>
  <c r="AL7" i="60"/>
  <c r="AL8" i="60"/>
  <c r="AL11" i="60"/>
  <c r="AL14" i="60"/>
  <c r="AL12" i="60"/>
  <c r="AL10" i="60"/>
  <c r="AL15" i="60"/>
  <c r="CI11" i="60"/>
  <c r="CI12" i="60"/>
  <c r="CI14" i="60"/>
  <c r="CI15" i="60"/>
  <c r="CI7" i="60"/>
  <c r="CI8" i="60"/>
  <c r="CI9" i="60"/>
  <c r="CI13" i="60"/>
  <c r="CI10" i="60"/>
  <c r="CI6" i="60"/>
  <c r="CH16" i="60"/>
  <c r="O18" i="67" s="1"/>
  <c r="CJ5" i="60"/>
  <c r="AM5" i="60"/>
  <c r="C51" i="48"/>
  <c r="C54" i="48"/>
  <c r="B51" i="48"/>
  <c r="B54" i="48"/>
  <c r="D51" i="48"/>
  <c r="C30" i="48" s="1"/>
  <c r="D54" i="48"/>
  <c r="C31" i="48" s="1"/>
  <c r="C51" i="54"/>
  <c r="B51" i="54"/>
  <c r="D51" i="54"/>
  <c r="F52" i="54"/>
  <c r="E52" i="54"/>
  <c r="G52" i="54"/>
  <c r="H52" i="54"/>
  <c r="B35" i="48"/>
  <c r="F24" i="44"/>
  <c r="F10" i="44"/>
  <c r="B30" i="48" l="1"/>
  <c r="B36" i="48" s="1"/>
  <c r="O27" i="67"/>
  <c r="O36" i="67" s="1"/>
  <c r="O20" i="67"/>
  <c r="Z68" i="60"/>
  <c r="S6" i="64"/>
  <c r="S8" i="64" s="1"/>
  <c r="X16" i="60"/>
  <c r="AA68" i="60"/>
  <c r="T6" i="64"/>
  <c r="T8" i="64" s="1"/>
  <c r="Y16" i="60"/>
  <c r="S31" i="67"/>
  <c r="S33" i="67" s="1"/>
  <c r="S34" i="67" s="1"/>
  <c r="N7" i="64"/>
  <c r="M7" i="64"/>
  <c r="R11" i="67"/>
  <c r="T30" i="67"/>
  <c r="T32" i="67"/>
  <c r="T29" i="67"/>
  <c r="AC8" i="64"/>
  <c r="S9" i="67"/>
  <c r="U4" i="67"/>
  <c r="T8" i="67"/>
  <c r="T7" i="67"/>
  <c r="T6" i="67"/>
  <c r="N5" i="64"/>
  <c r="AM10" i="60"/>
  <c r="AM8" i="60"/>
  <c r="AM7" i="60"/>
  <c r="AM13" i="60"/>
  <c r="AM11" i="60"/>
  <c r="AM12" i="60"/>
  <c r="AM9" i="60"/>
  <c r="AM14" i="60"/>
  <c r="AM15" i="60"/>
  <c r="CJ12" i="60"/>
  <c r="CJ13" i="60"/>
  <c r="CJ14" i="60"/>
  <c r="CJ15" i="60"/>
  <c r="CJ8" i="60"/>
  <c r="CJ9" i="60"/>
  <c r="CJ10" i="60"/>
  <c r="CJ11" i="60"/>
  <c r="CJ7" i="60"/>
  <c r="CJ6" i="60"/>
  <c r="AL16" i="60"/>
  <c r="AK68" i="60"/>
  <c r="CI16" i="60"/>
  <c r="P18" i="67" s="1"/>
  <c r="CK5" i="60"/>
  <c r="AN5" i="60"/>
  <c r="B31" i="48"/>
  <c r="D52" i="48"/>
  <c r="D53" i="48" s="1"/>
  <c r="C33" i="48" s="1"/>
  <c r="C32" i="48" s="1"/>
  <c r="B52" i="54"/>
  <c r="C52" i="54"/>
  <c r="D52" i="54"/>
  <c r="P20" i="67" l="1"/>
  <c r="P27" i="67"/>
  <c r="P36" i="67" s="1"/>
  <c r="X68" i="60"/>
  <c r="Q6" i="64"/>
  <c r="Q8" i="64" s="1"/>
  <c r="V16" i="60"/>
  <c r="W16" i="60"/>
  <c r="Y68" i="60"/>
  <c r="R6" i="64"/>
  <c r="R8" i="64" s="1"/>
  <c r="S11" i="67"/>
  <c r="T31" i="67"/>
  <c r="T33" i="67" s="1"/>
  <c r="T34" i="67" s="1"/>
  <c r="T35" i="67" s="1"/>
  <c r="U30" i="67"/>
  <c r="U32" i="67"/>
  <c r="U29" i="67"/>
  <c r="V4" i="67"/>
  <c r="U6" i="67"/>
  <c r="U8" i="67"/>
  <c r="U7" i="67"/>
  <c r="T9" i="67"/>
  <c r="AL68" i="60"/>
  <c r="AE6" i="64"/>
  <c r="O5" i="64"/>
  <c r="AM16" i="60"/>
  <c r="AF6" i="64" s="1"/>
  <c r="AF8" i="64" s="1"/>
  <c r="AN13" i="60"/>
  <c r="AN11" i="60"/>
  <c r="AN12" i="60"/>
  <c r="AN15" i="60"/>
  <c r="AN9" i="60"/>
  <c r="AN8" i="60"/>
  <c r="AN10" i="60"/>
  <c r="AN7" i="60"/>
  <c r="AN14" i="60"/>
  <c r="CK13" i="60"/>
  <c r="CK14" i="60"/>
  <c r="CK15" i="60"/>
  <c r="CK7" i="60"/>
  <c r="CK9" i="60"/>
  <c r="CK10" i="60"/>
  <c r="CK11" i="60"/>
  <c r="CK8" i="60"/>
  <c r="CK12" i="60"/>
  <c r="CK6" i="60"/>
  <c r="CL5" i="60"/>
  <c r="CJ16" i="60"/>
  <c r="Q18" i="67" s="1"/>
  <c r="AO5" i="60"/>
  <c r="B52" i="48"/>
  <c r="B53" i="48" s="1"/>
  <c r="C52" i="48"/>
  <c r="C53" i="48" s="1"/>
  <c r="F11" i="48"/>
  <c r="Q20" i="67" l="1"/>
  <c r="Q27" i="67"/>
  <c r="Q36" i="67" s="1"/>
  <c r="P6" i="64"/>
  <c r="P8" i="64" s="1"/>
  <c r="W68" i="60"/>
  <c r="U16" i="60"/>
  <c r="O6" i="64"/>
  <c r="O8" i="64" s="1"/>
  <c r="V68" i="60"/>
  <c r="T16" i="60"/>
  <c r="O7" i="64"/>
  <c r="T11" i="67"/>
  <c r="U31" i="67"/>
  <c r="U33" i="67" s="1"/>
  <c r="U34" i="67" s="1"/>
  <c r="U35" i="67" s="1"/>
  <c r="V30" i="67"/>
  <c r="V32" i="67"/>
  <c r="V29" i="67"/>
  <c r="AE8" i="64"/>
  <c r="U9" i="67"/>
  <c r="V8" i="67"/>
  <c r="V6" i="67"/>
  <c r="V7" i="67"/>
  <c r="W4" i="67"/>
  <c r="P5" i="64"/>
  <c r="AO11" i="60"/>
  <c r="AO13" i="60"/>
  <c r="AO10" i="60"/>
  <c r="AO7" i="60"/>
  <c r="AO12" i="60"/>
  <c r="AO9" i="60"/>
  <c r="AO14" i="60"/>
  <c r="AO15" i="60"/>
  <c r="AO8" i="60"/>
  <c r="AN16" i="60"/>
  <c r="CL14" i="60"/>
  <c r="CL15" i="60"/>
  <c r="CL8" i="60"/>
  <c r="CL10" i="60"/>
  <c r="CL11" i="60"/>
  <c r="CL12" i="60"/>
  <c r="CL6" i="60"/>
  <c r="CL7" i="60"/>
  <c r="CL13" i="60"/>
  <c r="CL9" i="60"/>
  <c r="AM68" i="60"/>
  <c r="CK16" i="60"/>
  <c r="R18" i="67" s="1"/>
  <c r="CM5" i="60"/>
  <c r="AP5" i="60"/>
  <c r="B33" i="48"/>
  <c r="B32" i="48" s="1"/>
  <c r="R20" i="67" l="1"/>
  <c r="R27" i="67"/>
  <c r="R36" i="67" s="1"/>
  <c r="T68" i="60"/>
  <c r="M6" i="64"/>
  <c r="M8" i="64" s="1"/>
  <c r="R16" i="60"/>
  <c r="U68" i="60"/>
  <c r="N6" i="64"/>
  <c r="N8" i="64" s="1"/>
  <c r="S16" i="60"/>
  <c r="P7" i="64"/>
  <c r="U11" i="67"/>
  <c r="V31" i="67"/>
  <c r="V33" i="67" s="1"/>
  <c r="V34" i="67" s="1"/>
  <c r="V35" i="67" s="1"/>
  <c r="W30" i="67"/>
  <c r="W32" i="67"/>
  <c r="W29" i="67"/>
  <c r="V9" i="67"/>
  <c r="W7" i="67"/>
  <c r="W6" i="67"/>
  <c r="W8" i="67"/>
  <c r="X4" i="67"/>
  <c r="AN68" i="60"/>
  <c r="AG6" i="64"/>
  <c r="Q5" i="64"/>
  <c r="AO16" i="60"/>
  <c r="AP12" i="60"/>
  <c r="AP13" i="60"/>
  <c r="AP14" i="60"/>
  <c r="AP9" i="60"/>
  <c r="AP8" i="60"/>
  <c r="AP11" i="60"/>
  <c r="AP15" i="60"/>
  <c r="AP10" i="60"/>
  <c r="AP7" i="60"/>
  <c r="CM15" i="60"/>
  <c r="CM11" i="60"/>
  <c r="CM14" i="60"/>
  <c r="CM9" i="60"/>
  <c r="CM10" i="60"/>
  <c r="CM12" i="60"/>
  <c r="CM13" i="60"/>
  <c r="CM8" i="60"/>
  <c r="CM6" i="60"/>
  <c r="CM7" i="60"/>
  <c r="CL16" i="60"/>
  <c r="S18" i="67" s="1"/>
  <c r="CN5" i="60"/>
  <c r="AQ5" i="60"/>
  <c r="D3" i="18" a="1"/>
  <c r="D4" i="18" a="1"/>
  <c r="S20" i="67" l="1"/>
  <c r="S27" i="67"/>
  <c r="S36" i="67" s="1"/>
  <c r="L6" i="64"/>
  <c r="L8" i="64" s="1"/>
  <c r="S68" i="60"/>
  <c r="Q16" i="60"/>
  <c r="K6" i="64"/>
  <c r="K8" i="64" s="1"/>
  <c r="R68" i="60"/>
  <c r="P16" i="60"/>
  <c r="Q7" i="64"/>
  <c r="V11" i="67"/>
  <c r="W31" i="67"/>
  <c r="W33" i="67" s="1"/>
  <c r="W34" i="67" s="1"/>
  <c r="W35" i="67" s="1"/>
  <c r="X30" i="67"/>
  <c r="X32" i="67"/>
  <c r="X29" i="67"/>
  <c r="AG8" i="64"/>
  <c r="X7" i="67"/>
  <c r="X6" i="67"/>
  <c r="X8" i="67"/>
  <c r="Y4" i="67"/>
  <c r="W9" i="67"/>
  <c r="AO68" i="60"/>
  <c r="AH6" i="64"/>
  <c r="AH8" i="64" s="1"/>
  <c r="R5" i="64"/>
  <c r="AQ11" i="60"/>
  <c r="AQ13" i="60"/>
  <c r="AQ14" i="60"/>
  <c r="AQ9" i="60"/>
  <c r="AQ7" i="60"/>
  <c r="AQ12" i="60"/>
  <c r="AQ10" i="60"/>
  <c r="AQ15" i="60"/>
  <c r="AQ8" i="60"/>
  <c r="CN11" i="60"/>
  <c r="CN12" i="60"/>
  <c r="CN10" i="60"/>
  <c r="CN13" i="60"/>
  <c r="CN15" i="60"/>
  <c r="CN6" i="60"/>
  <c r="CN14" i="60"/>
  <c r="CN7" i="60"/>
  <c r="CN9" i="60"/>
  <c r="CN8" i="60"/>
  <c r="AP16" i="60"/>
  <c r="CO5" i="60"/>
  <c r="CM16" i="60"/>
  <c r="T18" i="67" s="1"/>
  <c r="AR5" i="60"/>
  <c r="C21" i="31"/>
  <c r="D4" i="18"/>
  <c r="D3" i="18"/>
  <c r="T20" i="67" l="1"/>
  <c r="T27" i="67"/>
  <c r="T36" i="67" s="1"/>
  <c r="N16" i="60"/>
  <c r="I6" i="64"/>
  <c r="I8" i="64" s="1"/>
  <c r="P68" i="60"/>
  <c r="Q68" i="60"/>
  <c r="J6" i="64"/>
  <c r="J8" i="64" s="1"/>
  <c r="AI6" i="64"/>
  <c r="AI8" i="64" s="1"/>
  <c r="R7" i="64"/>
  <c r="W11" i="67"/>
  <c r="X31" i="67"/>
  <c r="X33" i="67" s="1"/>
  <c r="X34" i="67" s="1"/>
  <c r="X35" i="67" s="1"/>
  <c r="Y32" i="67"/>
  <c r="Y30" i="67"/>
  <c r="Y29" i="67"/>
  <c r="X9" i="67"/>
  <c r="Y6" i="67"/>
  <c r="Y8" i="67"/>
  <c r="Y7" i="67"/>
  <c r="Z4" i="67"/>
  <c r="S5" i="64"/>
  <c r="AP68" i="60"/>
  <c r="AR7" i="60"/>
  <c r="AR9" i="60"/>
  <c r="AR13" i="60"/>
  <c r="AR11" i="60"/>
  <c r="AR14" i="60"/>
  <c r="AR15" i="60"/>
  <c r="AR8" i="60"/>
  <c r="AR12" i="60"/>
  <c r="AR10" i="60"/>
  <c r="CO12" i="60"/>
  <c r="CO13" i="60"/>
  <c r="CO11" i="60"/>
  <c r="CO14" i="60"/>
  <c r="CO9" i="60"/>
  <c r="CO7" i="60"/>
  <c r="CO10" i="60"/>
  <c r="CO6" i="60"/>
  <c r="CO15" i="60"/>
  <c r="CO8" i="60"/>
  <c r="AQ16" i="60"/>
  <c r="CP5" i="60"/>
  <c r="CN16" i="60"/>
  <c r="U18" i="67" s="1"/>
  <c r="AS5" i="60"/>
  <c r="C25" i="31"/>
  <c r="C27" i="15"/>
  <c r="U20" i="67" l="1"/>
  <c r="U27" i="67"/>
  <c r="U36" i="67" s="1"/>
  <c r="N68" i="60"/>
  <c r="G6" i="64"/>
  <c r="G8" i="64" s="1"/>
  <c r="M16" i="60"/>
  <c r="L16" i="60"/>
  <c r="O68" i="60"/>
  <c r="S7" i="64"/>
  <c r="X11" i="67"/>
  <c r="Y31" i="67"/>
  <c r="Y33" i="67" s="1"/>
  <c r="Y34" i="67" s="1"/>
  <c r="Y35" i="67" s="1"/>
  <c r="Z30" i="67"/>
  <c r="Z32" i="67"/>
  <c r="Z29" i="67"/>
  <c r="Z8" i="67"/>
  <c r="Z6" i="67"/>
  <c r="Z7" i="67"/>
  <c r="AA4" i="67"/>
  <c r="Y9" i="67"/>
  <c r="AQ68" i="60"/>
  <c r="AJ6" i="64"/>
  <c r="AJ8" i="64" s="1"/>
  <c r="T5" i="64"/>
  <c r="CP11" i="60"/>
  <c r="CP13" i="60"/>
  <c r="CP14" i="60"/>
  <c r="CP12" i="60"/>
  <c r="CP15" i="60"/>
  <c r="CP8" i="60"/>
  <c r="CP10" i="60"/>
  <c r="CP9" i="60"/>
  <c r="CP7" i="60"/>
  <c r="CP6" i="60"/>
  <c r="AR16" i="60"/>
  <c r="AS9" i="60"/>
  <c r="AS14" i="60"/>
  <c r="AS13" i="60"/>
  <c r="AS7" i="60"/>
  <c r="AS8" i="60"/>
  <c r="AS15" i="60"/>
  <c r="AS12" i="60"/>
  <c r="AS10" i="60"/>
  <c r="AS11" i="60"/>
  <c r="CO16" i="60"/>
  <c r="V18" i="67" s="1"/>
  <c r="CQ5" i="60"/>
  <c r="AT5" i="60"/>
  <c r="D35" i="30"/>
  <c r="Z31" i="67" l="1"/>
  <c r="Z33" i="67" s="1"/>
  <c r="Z34" i="67" s="1"/>
  <c r="Z35" i="67" s="1"/>
  <c r="V20" i="67"/>
  <c r="V27" i="67"/>
  <c r="V36" i="67" s="1"/>
  <c r="E6" i="64"/>
  <c r="E8" i="64" s="1"/>
  <c r="L68" i="60"/>
  <c r="F6" i="64"/>
  <c r="F8" i="64" s="1"/>
  <c r="M68" i="60"/>
  <c r="T7" i="64"/>
  <c r="Y11" i="67"/>
  <c r="AA30" i="67"/>
  <c r="AA32" i="67"/>
  <c r="AA29" i="67"/>
  <c r="AA8" i="67"/>
  <c r="AA7" i="67"/>
  <c r="AA6" i="67"/>
  <c r="AB4" i="67"/>
  <c r="Z9" i="67"/>
  <c r="AR68" i="60"/>
  <c r="AK6" i="64"/>
  <c r="AK8" i="64" s="1"/>
  <c r="U5" i="64"/>
  <c r="AT8" i="60"/>
  <c r="AT7" i="60"/>
  <c r="AT10" i="60"/>
  <c r="AT11" i="60"/>
  <c r="AT12" i="60"/>
  <c r="AT15" i="60"/>
  <c r="AT13" i="60"/>
  <c r="AT14" i="60"/>
  <c r="AT9" i="60"/>
  <c r="AS16" i="60"/>
  <c r="CQ11" i="60"/>
  <c r="CQ12" i="60"/>
  <c r="CQ14" i="60"/>
  <c r="CQ15" i="60"/>
  <c r="CQ13" i="60"/>
  <c r="CQ7" i="60"/>
  <c r="CQ8" i="60"/>
  <c r="CQ9" i="60"/>
  <c r="CQ10" i="60"/>
  <c r="CQ6" i="60"/>
  <c r="CP16" i="60"/>
  <c r="W18" i="67" s="1"/>
  <c r="CR5" i="60"/>
  <c r="AU5" i="60"/>
  <c r="C38" i="31"/>
  <c r="C39" i="31" s="1"/>
  <c r="C40" i="31" s="1"/>
  <c r="C13" i="31"/>
  <c r="C32" i="31"/>
  <c r="C20" i="15"/>
  <c r="C13" i="15"/>
  <c r="C9" i="15"/>
  <c r="C8" i="15"/>
  <c r="W20" i="67" l="1"/>
  <c r="W27" i="67"/>
  <c r="W36" i="67" s="1"/>
  <c r="U7" i="64"/>
  <c r="Z11" i="67"/>
  <c r="AB30" i="67"/>
  <c r="AB32" i="67"/>
  <c r="AB29" i="67"/>
  <c r="AA31" i="67"/>
  <c r="AA33" i="67" s="1"/>
  <c r="AA34" i="67" s="1"/>
  <c r="AA35" i="67" s="1"/>
  <c r="AA9" i="67"/>
  <c r="AB8" i="67"/>
  <c r="AB7" i="67"/>
  <c r="AB6" i="67"/>
  <c r="AC4" i="67"/>
  <c r="AS68" i="60"/>
  <c r="AL6" i="64"/>
  <c r="AL8" i="64" s="1"/>
  <c r="V5" i="64"/>
  <c r="AU10" i="60"/>
  <c r="AU13" i="60"/>
  <c r="AU11" i="60"/>
  <c r="AU8" i="60"/>
  <c r="AU12" i="60"/>
  <c r="AU7" i="60"/>
  <c r="AU15" i="60"/>
  <c r="AU14" i="60"/>
  <c r="AU9" i="60"/>
  <c r="CR12" i="60"/>
  <c r="CR13" i="60"/>
  <c r="CR14" i="60"/>
  <c r="CR15" i="60"/>
  <c r="CR11" i="60"/>
  <c r="CR8" i="60"/>
  <c r="CR9" i="60"/>
  <c r="CR10" i="60"/>
  <c r="CR6" i="60"/>
  <c r="CR7" i="60"/>
  <c r="AT16" i="60"/>
  <c r="CQ16" i="60"/>
  <c r="X18" i="67" s="1"/>
  <c r="CS5" i="60"/>
  <c r="AV5" i="60"/>
  <c r="H4" i="45"/>
  <c r="N27" i="45"/>
  <c r="H5" i="45"/>
  <c r="N29" i="45"/>
  <c r="N28" i="45"/>
  <c r="I29" i="31"/>
  <c r="X9" i="15"/>
  <c r="Y9" i="15"/>
  <c r="Z9" i="15"/>
  <c r="W9" i="15"/>
  <c r="AA9" i="15"/>
  <c r="V9" i="15"/>
  <c r="AB14" i="31"/>
  <c r="AB23" i="31"/>
  <c r="AA10" i="15"/>
  <c r="AB15" i="31"/>
  <c r="AB9" i="31" s="1"/>
  <c r="X20" i="67" l="1"/>
  <c r="X27" i="67"/>
  <c r="X36" i="67" s="1"/>
  <c r="V7" i="64"/>
  <c r="AA11" i="67"/>
  <c r="AB31" i="67"/>
  <c r="AB33" i="67" s="1"/>
  <c r="AB34" i="67" s="1"/>
  <c r="AB35" i="67" s="1"/>
  <c r="AC30" i="67"/>
  <c r="AC32" i="67"/>
  <c r="AC29" i="67"/>
  <c r="AC35" i="67"/>
  <c r="AB9" i="67"/>
  <c r="AC6" i="67"/>
  <c r="AC8" i="67"/>
  <c r="AC7" i="67"/>
  <c r="AD4" i="67"/>
  <c r="AT68" i="60"/>
  <c r="AM6" i="64"/>
  <c r="AM8" i="64" s="1"/>
  <c r="W5" i="64"/>
  <c r="AV11" i="60"/>
  <c r="AV12" i="60"/>
  <c r="AV15" i="60"/>
  <c r="AV9" i="60"/>
  <c r="AV10" i="60"/>
  <c r="AV8" i="60"/>
  <c r="AV7" i="60"/>
  <c r="AV14" i="60"/>
  <c r="AV13" i="60"/>
  <c r="CS13" i="60"/>
  <c r="CS14" i="60"/>
  <c r="CS15" i="60"/>
  <c r="CS11" i="60"/>
  <c r="CS7" i="60"/>
  <c r="CS12" i="60"/>
  <c r="CS9" i="60"/>
  <c r="CS10" i="60"/>
  <c r="CS6" i="60"/>
  <c r="CS8" i="60"/>
  <c r="AU16" i="60"/>
  <c r="CR16" i="60"/>
  <c r="Y18" i="67" s="1"/>
  <c r="CT5" i="60"/>
  <c r="AW5" i="60"/>
  <c r="O26" i="45"/>
  <c r="P26" i="45" s="1"/>
  <c r="N4" i="45"/>
  <c r="N6" i="45"/>
  <c r="N5" i="45"/>
  <c r="C4" i="31"/>
  <c r="C4" i="15"/>
  <c r="C24" i="15"/>
  <c r="C25" i="15"/>
  <c r="C26" i="15"/>
  <c r="C23" i="15"/>
  <c r="Y27" i="67" l="1"/>
  <c r="Y36" i="67" s="1"/>
  <c r="Y20" i="67"/>
  <c r="X7" i="64"/>
  <c r="W7" i="64"/>
  <c r="AB11" i="67"/>
  <c r="AC31" i="67"/>
  <c r="AC33" i="67" s="1"/>
  <c r="AC34" i="67" s="1"/>
  <c r="AD30" i="67"/>
  <c r="AD32" i="67"/>
  <c r="AD29" i="67"/>
  <c r="AD8" i="67"/>
  <c r="AD6" i="67"/>
  <c r="AD7" i="67"/>
  <c r="AE4" i="67"/>
  <c r="AC9" i="67"/>
  <c r="AU68" i="60"/>
  <c r="AN6" i="64"/>
  <c r="AN8" i="64" s="1"/>
  <c r="X5" i="64"/>
  <c r="AW10" i="60"/>
  <c r="AW12" i="60"/>
  <c r="AW8" i="60"/>
  <c r="AW7" i="60"/>
  <c r="AW11" i="60"/>
  <c r="AW15" i="60"/>
  <c r="AW14" i="60"/>
  <c r="AW9" i="60"/>
  <c r="AW13" i="60"/>
  <c r="CT14" i="60"/>
  <c r="CT15" i="60"/>
  <c r="CT12" i="60"/>
  <c r="CT8" i="60"/>
  <c r="CT13" i="60"/>
  <c r="CT10" i="60"/>
  <c r="CT9" i="60"/>
  <c r="CT6" i="60"/>
  <c r="CT7" i="60"/>
  <c r="CT11" i="60"/>
  <c r="AV16" i="60"/>
  <c r="CS16" i="60"/>
  <c r="Z18" i="67" s="1"/>
  <c r="CU5" i="60"/>
  <c r="AX5" i="60"/>
  <c r="C29" i="15"/>
  <c r="C22" i="31"/>
  <c r="C23" i="31"/>
  <c r="C24" i="31"/>
  <c r="Z27" i="67" l="1"/>
  <c r="Z36" i="67" s="1"/>
  <c r="Z20" i="67"/>
  <c r="AC11" i="67"/>
  <c r="AD31" i="67"/>
  <c r="AD33" i="67" s="1"/>
  <c r="AD34" i="67" s="1"/>
  <c r="AD35" i="67" s="1"/>
  <c r="AE30" i="67"/>
  <c r="AE32" i="67"/>
  <c r="AE29" i="67"/>
  <c r="AD9" i="67"/>
  <c r="AE7" i="67"/>
  <c r="AE6" i="67"/>
  <c r="AE8" i="67"/>
  <c r="AF4" i="67"/>
  <c r="AV68" i="60"/>
  <c r="AO6" i="64"/>
  <c r="AO8" i="64" s="1"/>
  <c r="Y5" i="64"/>
  <c r="AX9" i="60"/>
  <c r="AX10" i="60"/>
  <c r="AX8" i="60"/>
  <c r="AX11" i="60"/>
  <c r="AX15" i="60"/>
  <c r="AX14" i="60"/>
  <c r="AX12" i="60"/>
  <c r="AX7" i="60"/>
  <c r="AX13" i="60"/>
  <c r="CU15" i="60"/>
  <c r="CU11" i="60"/>
  <c r="CU13" i="60"/>
  <c r="CU9" i="60"/>
  <c r="CU10" i="60"/>
  <c r="CU14" i="60"/>
  <c r="CU12" i="60"/>
  <c r="CU6" i="60"/>
  <c r="CU8" i="60"/>
  <c r="CU7" i="60"/>
  <c r="AW16" i="60"/>
  <c r="CT16" i="60"/>
  <c r="AA18" i="67" s="1"/>
  <c r="CV5" i="60"/>
  <c r="AY5" i="60"/>
  <c r="D4" i="33"/>
  <c r="C5" i="33" s="1"/>
  <c r="B4" i="33"/>
  <c r="AA27" i="67" l="1"/>
  <c r="AA36" i="67" s="1"/>
  <c r="AA20" i="67"/>
  <c r="Y7" i="64"/>
  <c r="AD11" i="67"/>
  <c r="AE31" i="67"/>
  <c r="AE33" i="67" s="1"/>
  <c r="AE34" i="67" s="1"/>
  <c r="AE35" i="67" s="1"/>
  <c r="AF30" i="67"/>
  <c r="AF32" i="67"/>
  <c r="AF29" i="67"/>
  <c r="AE9" i="67"/>
  <c r="AF7" i="67"/>
  <c r="AF6" i="67"/>
  <c r="AF8" i="67"/>
  <c r="AG4" i="67"/>
  <c r="AW68" i="60"/>
  <c r="AP6" i="64"/>
  <c r="AP8" i="64" s="1"/>
  <c r="Z5" i="64"/>
  <c r="AY9" i="60"/>
  <c r="AY11" i="60"/>
  <c r="AY12" i="60"/>
  <c r="AY10" i="60"/>
  <c r="AY8" i="60"/>
  <c r="AY15" i="60"/>
  <c r="AY7" i="60"/>
  <c r="AY13" i="60"/>
  <c r="AY14" i="60"/>
  <c r="CV11" i="60"/>
  <c r="CV12" i="60"/>
  <c r="CV10" i="60"/>
  <c r="CV15" i="60"/>
  <c r="CV14" i="60"/>
  <c r="CV9" i="60"/>
  <c r="CV6" i="60"/>
  <c r="CV13" i="60"/>
  <c r="CV8" i="60"/>
  <c r="CV7" i="60"/>
  <c r="AX16" i="60"/>
  <c r="CU16" i="60"/>
  <c r="AB18" i="67" s="1"/>
  <c r="CW5" i="60"/>
  <c r="AZ5" i="60"/>
  <c r="D5" i="33"/>
  <c r="C6" i="33" s="1"/>
  <c r="AF31" i="67" l="1"/>
  <c r="AF33" i="67" s="1"/>
  <c r="AF34" i="67" s="1"/>
  <c r="AF35" i="67" s="1"/>
  <c r="AB27" i="67"/>
  <c r="AB36" i="67" s="1"/>
  <c r="AB20" i="67"/>
  <c r="Z7" i="64"/>
  <c r="AE11" i="67"/>
  <c r="AG30" i="67"/>
  <c r="AG32" i="67"/>
  <c r="AG29" i="67"/>
  <c r="AF9" i="67"/>
  <c r="AG6" i="67"/>
  <c r="AG8" i="67"/>
  <c r="AG7" i="67"/>
  <c r="AH4" i="67"/>
  <c r="AX68" i="60"/>
  <c r="AQ6" i="64"/>
  <c r="AQ8" i="64" s="1"/>
  <c r="AA5" i="64"/>
  <c r="AZ9" i="60"/>
  <c r="AZ13" i="60"/>
  <c r="AZ12" i="60"/>
  <c r="AZ15" i="60"/>
  <c r="AZ7" i="60"/>
  <c r="AZ11" i="60"/>
  <c r="AZ8" i="60"/>
  <c r="AZ10" i="60"/>
  <c r="AZ14" i="60"/>
  <c r="CW12" i="60"/>
  <c r="CW13" i="60"/>
  <c r="CW15" i="60"/>
  <c r="CW14" i="60"/>
  <c r="CW11" i="60"/>
  <c r="CW9" i="60"/>
  <c r="CW6" i="60"/>
  <c r="CW10" i="60"/>
  <c r="CW8" i="60"/>
  <c r="CW7" i="60"/>
  <c r="AY16" i="60"/>
  <c r="CX5" i="60"/>
  <c r="CV16" i="60"/>
  <c r="AC18" i="67" s="1"/>
  <c r="BA5" i="60"/>
  <c r="D6" i="33"/>
  <c r="C7" i="33" s="1"/>
  <c r="B5" i="33"/>
  <c r="AC20" i="67" l="1"/>
  <c r="AC27" i="67"/>
  <c r="AC36" i="67" s="1"/>
  <c r="AA7" i="64"/>
  <c r="AF11" i="67"/>
  <c r="AG31" i="67"/>
  <c r="AG33" i="67" s="1"/>
  <c r="AG34" i="67" s="1"/>
  <c r="AG35" i="67" s="1"/>
  <c r="AH30" i="67"/>
  <c r="AH32" i="67"/>
  <c r="AH29" i="67"/>
  <c r="AG9" i="67"/>
  <c r="AH8" i="67"/>
  <c r="AH6" i="67"/>
  <c r="AH7" i="67"/>
  <c r="AI4" i="67"/>
  <c r="AY68" i="60"/>
  <c r="AR6" i="64"/>
  <c r="AR8" i="64" s="1"/>
  <c r="AB5" i="64"/>
  <c r="BA15" i="60"/>
  <c r="BA12" i="60"/>
  <c r="BA10" i="60"/>
  <c r="BA11" i="60"/>
  <c r="BA13" i="60"/>
  <c r="BA7" i="60"/>
  <c r="BA14" i="60"/>
  <c r="BA8" i="60"/>
  <c r="BA6" i="60"/>
  <c r="BA9" i="60"/>
  <c r="CX11" i="60"/>
  <c r="CX13" i="60"/>
  <c r="CX14" i="60"/>
  <c r="CX15" i="60"/>
  <c r="CX8" i="60"/>
  <c r="CX12" i="60"/>
  <c r="CX10" i="60"/>
  <c r="CX7" i="60"/>
  <c r="CX9" i="60"/>
  <c r="CX6" i="60"/>
  <c r="AZ16" i="60"/>
  <c r="CW16" i="60"/>
  <c r="AD18" i="67" s="1"/>
  <c r="CY5" i="60"/>
  <c r="BB5" i="60"/>
  <c r="B6" i="33"/>
  <c r="D7" i="33"/>
  <c r="C8" i="33" s="1"/>
  <c r="AD27" i="67" l="1"/>
  <c r="AD36" i="67" s="1"/>
  <c r="AD20" i="67"/>
  <c r="AH31" i="67"/>
  <c r="AH33" i="67" s="1"/>
  <c r="AH34" i="67" s="1"/>
  <c r="AH35" i="67" s="1"/>
  <c r="AB7" i="64"/>
  <c r="AG11" i="67"/>
  <c r="AI30" i="67"/>
  <c r="AI32" i="67"/>
  <c r="AI29" i="67"/>
  <c r="AI8" i="67"/>
  <c r="AI7" i="67"/>
  <c r="AI6" i="67"/>
  <c r="AJ4" i="67"/>
  <c r="AH9" i="67"/>
  <c r="AZ68" i="60"/>
  <c r="AS6" i="64"/>
  <c r="AS8" i="64" s="1"/>
  <c r="AC5" i="64"/>
  <c r="BB8" i="60"/>
  <c r="BB10" i="60"/>
  <c r="BB11" i="60"/>
  <c r="BB12" i="60"/>
  <c r="BB13" i="60"/>
  <c r="BB14" i="60"/>
  <c r="BB7" i="60"/>
  <c r="BB15" i="60"/>
  <c r="BB9" i="60"/>
  <c r="BB6" i="60"/>
  <c r="CY11" i="60"/>
  <c r="CY12" i="60"/>
  <c r="CY14" i="60"/>
  <c r="CY15" i="60"/>
  <c r="CY7" i="60"/>
  <c r="CY8" i="60"/>
  <c r="CY9" i="60"/>
  <c r="CY13" i="60"/>
  <c r="CY10" i="60"/>
  <c r="CY6" i="60"/>
  <c r="BA16" i="60"/>
  <c r="CX16" i="60"/>
  <c r="AE18" i="67" s="1"/>
  <c r="CZ5" i="60"/>
  <c r="BC5" i="60"/>
  <c r="G7" i="33"/>
  <c r="B7" i="33"/>
  <c r="D8" i="33"/>
  <c r="C9" i="33" s="1"/>
  <c r="B8" i="33"/>
  <c r="AE27" i="67" l="1"/>
  <c r="AE36" i="67" s="1"/>
  <c r="AE20" i="67"/>
  <c r="AC7" i="64"/>
  <c r="AH11" i="67"/>
  <c r="AI31" i="67"/>
  <c r="AI33" i="67" s="1"/>
  <c r="AI34" i="67" s="1"/>
  <c r="AI35" i="67" s="1"/>
  <c r="AJ30" i="67"/>
  <c r="AJ32" i="67"/>
  <c r="AJ29" i="67"/>
  <c r="AI9" i="67"/>
  <c r="AJ8" i="67"/>
  <c r="AJ7" i="67"/>
  <c r="AJ6" i="67"/>
  <c r="AK4" i="67"/>
  <c r="BA68" i="60"/>
  <c r="AT6" i="64"/>
  <c r="AT8" i="64" s="1"/>
  <c r="AD5" i="64"/>
  <c r="BB16" i="60"/>
  <c r="BC10" i="60"/>
  <c r="BC11" i="60"/>
  <c r="BC15" i="60"/>
  <c r="BC12" i="60"/>
  <c r="BC6" i="60"/>
  <c r="BC8" i="60"/>
  <c r="BC7" i="60"/>
  <c r="BC14" i="60"/>
  <c r="BC9" i="60"/>
  <c r="BC13" i="60"/>
  <c r="CZ12" i="60"/>
  <c r="CZ13" i="60"/>
  <c r="CZ14" i="60"/>
  <c r="CZ15" i="60"/>
  <c r="CZ8" i="60"/>
  <c r="CZ9" i="60"/>
  <c r="CZ10" i="60"/>
  <c r="CZ7" i="60"/>
  <c r="CZ6" i="60"/>
  <c r="CZ11" i="60"/>
  <c r="DA5" i="60"/>
  <c r="CY16" i="60"/>
  <c r="AF18" i="67" s="1"/>
  <c r="BD5" i="60"/>
  <c r="G4" i="33"/>
  <c r="G8" i="33"/>
  <c r="G5" i="33"/>
  <c r="G6" i="33"/>
  <c r="D9" i="33"/>
  <c r="C10" i="33" s="1"/>
  <c r="AF20" i="67" l="1"/>
  <c r="AF27" i="67"/>
  <c r="AF36" i="67" s="1"/>
  <c r="AD7" i="64"/>
  <c r="AI11" i="67"/>
  <c r="AJ31" i="67"/>
  <c r="AJ33" i="67" s="1"/>
  <c r="AJ34" i="67" s="1"/>
  <c r="AJ35" i="67" s="1"/>
  <c r="AK30" i="67"/>
  <c r="AK32" i="67"/>
  <c r="AK29" i="67"/>
  <c r="AJ9" i="67"/>
  <c r="AK6" i="67"/>
  <c r="AK8" i="67"/>
  <c r="AK7" i="67"/>
  <c r="AL4" i="67"/>
  <c r="BB68" i="60"/>
  <c r="AU6" i="64"/>
  <c r="AU8" i="64" s="1"/>
  <c r="AE5" i="64"/>
  <c r="BD9" i="60"/>
  <c r="BD15" i="60"/>
  <c r="BD6" i="60"/>
  <c r="BD10" i="60"/>
  <c r="BD14" i="60"/>
  <c r="BD8" i="60"/>
  <c r="BD7" i="60"/>
  <c r="BD13" i="60"/>
  <c r="BD11" i="60"/>
  <c r="BD12" i="60"/>
  <c r="DA13" i="60"/>
  <c r="DA14" i="60"/>
  <c r="DA15" i="60"/>
  <c r="DA7" i="60"/>
  <c r="DA9" i="60"/>
  <c r="DA10" i="60"/>
  <c r="DA11" i="60"/>
  <c r="DA12" i="60"/>
  <c r="DA8" i="60"/>
  <c r="DA6" i="60"/>
  <c r="BC16" i="60"/>
  <c r="CZ16" i="60"/>
  <c r="AG18" i="67" s="1"/>
  <c r="DB5" i="60"/>
  <c r="BE5" i="60"/>
  <c r="B10" i="33"/>
  <c r="D10" i="33"/>
  <c r="C11" i="33" s="1"/>
  <c r="B9" i="33"/>
  <c r="AG27" i="67" l="1"/>
  <c r="AG36" i="67" s="1"/>
  <c r="AG20" i="67"/>
  <c r="AE7" i="64"/>
  <c r="AJ11" i="67"/>
  <c r="AK31" i="67"/>
  <c r="AK33" i="67" s="1"/>
  <c r="AK34" i="67" s="1"/>
  <c r="AK35" i="67" s="1"/>
  <c r="AL30" i="67"/>
  <c r="AL32" i="67"/>
  <c r="AL29" i="67"/>
  <c r="AL8" i="67"/>
  <c r="AL6" i="67"/>
  <c r="AL7" i="67"/>
  <c r="AM4" i="67"/>
  <c r="AK9" i="67"/>
  <c r="BC68" i="60"/>
  <c r="AV6" i="64"/>
  <c r="AV8" i="64" s="1"/>
  <c r="AF5" i="64"/>
  <c r="BD16" i="60"/>
  <c r="BE9" i="60"/>
  <c r="BE6" i="60"/>
  <c r="BE15" i="60"/>
  <c r="BE11" i="60"/>
  <c r="BE8" i="60"/>
  <c r="BE14" i="60"/>
  <c r="BE7" i="60"/>
  <c r="BE13" i="60"/>
  <c r="BE10" i="60"/>
  <c r="BE12" i="60"/>
  <c r="DB14" i="60"/>
  <c r="DB15" i="60"/>
  <c r="DB8" i="60"/>
  <c r="DB10" i="60"/>
  <c r="DB11" i="60"/>
  <c r="DB12" i="60"/>
  <c r="DB13" i="60"/>
  <c r="DB6" i="60"/>
  <c r="DB7" i="60"/>
  <c r="DB9" i="60"/>
  <c r="DA16" i="60"/>
  <c r="AH18" i="67" s="1"/>
  <c r="DC5" i="60"/>
  <c r="BF5" i="60"/>
  <c r="D11" i="33"/>
  <c r="C12" i="33" s="1"/>
  <c r="B11" i="33"/>
  <c r="AH27" i="67" l="1"/>
  <c r="AH36" i="67" s="1"/>
  <c r="AH20" i="67"/>
  <c r="AF7" i="64"/>
  <c r="AK11" i="67"/>
  <c r="AL31" i="67"/>
  <c r="AL33" i="67" s="1"/>
  <c r="AL34" i="67" s="1"/>
  <c r="AL35" i="67" s="1"/>
  <c r="AM30" i="67"/>
  <c r="AM32" i="67"/>
  <c r="AM29" i="67"/>
  <c r="AM35" i="67"/>
  <c r="AL9" i="67"/>
  <c r="AM7" i="67"/>
  <c r="AM6" i="67"/>
  <c r="AM8" i="67"/>
  <c r="AN4" i="67"/>
  <c r="BD68" i="60"/>
  <c r="AW6" i="64"/>
  <c r="AW8" i="64" s="1"/>
  <c r="AG5" i="64"/>
  <c r="DC15" i="60"/>
  <c r="DC11" i="60"/>
  <c r="DC9" i="60"/>
  <c r="DC10" i="60"/>
  <c r="DC14" i="60"/>
  <c r="DC12" i="60"/>
  <c r="DC13" i="60"/>
  <c r="DC8" i="60"/>
  <c r="DC6" i="60"/>
  <c r="DC7" i="60"/>
  <c r="BF7" i="60"/>
  <c r="BF6" i="60"/>
  <c r="BF11" i="60"/>
  <c r="BF15" i="60"/>
  <c r="BF14" i="60"/>
  <c r="BF8" i="60"/>
  <c r="BF10" i="60"/>
  <c r="BF9" i="60"/>
  <c r="BF12" i="60"/>
  <c r="BF13" i="60"/>
  <c r="BE16" i="60"/>
  <c r="DB16" i="60"/>
  <c r="AI18" i="67" s="1"/>
  <c r="DD5" i="60"/>
  <c r="BG5" i="60"/>
  <c r="D12" i="33"/>
  <c r="C13" i="33" s="1"/>
  <c r="X29" i="31"/>
  <c r="Y29" i="31"/>
  <c r="Z29" i="31"/>
  <c r="AA29" i="31"/>
  <c r="AB29" i="31"/>
  <c r="C9" i="31"/>
  <c r="C8" i="31"/>
  <c r="I10" i="14"/>
  <c r="I8" i="14"/>
  <c r="G30" i="14"/>
  <c r="J39" i="14"/>
  <c r="I39" i="14"/>
  <c r="C21" i="14"/>
  <c r="C20" i="14"/>
  <c r="C19" i="14"/>
  <c r="C18" i="14"/>
  <c r="C5" i="14"/>
  <c r="P22" i="30"/>
  <c r="Q21" i="30" s="1"/>
  <c r="R21" i="30" s="1"/>
  <c r="Q22" i="30"/>
  <c r="P21" i="30"/>
  <c r="S6" i="30"/>
  <c r="S12" i="30" s="1"/>
  <c r="S7" i="30"/>
  <c r="H11" i="30"/>
  <c r="H10" i="30"/>
  <c r="D21" i="30"/>
  <c r="D3" i="30"/>
  <c r="D2" i="30"/>
  <c r="C14" i="14"/>
  <c r="C9" i="14"/>
  <c r="C10" i="14"/>
  <c r="K39" i="14"/>
  <c r="L39" i="14"/>
  <c r="M39" i="14"/>
  <c r="N39" i="14"/>
  <c r="O39" i="14"/>
  <c r="P39" i="14"/>
  <c r="Q39" i="14"/>
  <c r="R39" i="14"/>
  <c r="S39" i="14"/>
  <c r="T39" i="14"/>
  <c r="U39" i="14"/>
  <c r="V39" i="14"/>
  <c r="W39" i="14"/>
  <c r="X39" i="14"/>
  <c r="Y39" i="14"/>
  <c r="Z39" i="14"/>
  <c r="AA39" i="14"/>
  <c r="AB39" i="14"/>
  <c r="AC39" i="14"/>
  <c r="F45" i="29"/>
  <c r="F44" i="29"/>
  <c r="F43" i="29"/>
  <c r="E45" i="29"/>
  <c r="E44" i="29"/>
  <c r="E43" i="29"/>
  <c r="C45" i="29"/>
  <c r="C44" i="29"/>
  <c r="C43" i="29"/>
  <c r="B14" i="29"/>
  <c r="AI20" i="67" l="1"/>
  <c r="AI27" i="67"/>
  <c r="AI36" i="67" s="1"/>
  <c r="AH7" i="64"/>
  <c r="AG7" i="64"/>
  <c r="AL11" i="67"/>
  <c r="AM31" i="67"/>
  <c r="AM33" i="67" s="1"/>
  <c r="AM34" i="67" s="1"/>
  <c r="AN30" i="67"/>
  <c r="AN32" i="67"/>
  <c r="AN29" i="67"/>
  <c r="AN7" i="67"/>
  <c r="AN6" i="67"/>
  <c r="AN8" i="67"/>
  <c r="AO4" i="67"/>
  <c r="AM9" i="67"/>
  <c r="BE68" i="60"/>
  <c r="AX6" i="64"/>
  <c r="AX8" i="64" s="1"/>
  <c r="AH5" i="64"/>
  <c r="BG9" i="60"/>
  <c r="BG12" i="60"/>
  <c r="BG8" i="60"/>
  <c r="BG10" i="60"/>
  <c r="BG15" i="60"/>
  <c r="BG14" i="60"/>
  <c r="BG11" i="60"/>
  <c r="BG7" i="60"/>
  <c r="BG13" i="60"/>
  <c r="BG6" i="60"/>
  <c r="DD11" i="60"/>
  <c r="DD12" i="60"/>
  <c r="DD15" i="60"/>
  <c r="DD10" i="60"/>
  <c r="DD14" i="60"/>
  <c r="DD13" i="60"/>
  <c r="DD6" i="60"/>
  <c r="DD8" i="60"/>
  <c r="DD9" i="60"/>
  <c r="DD7" i="60"/>
  <c r="BF16" i="60"/>
  <c r="DE5" i="60"/>
  <c r="DC16" i="60"/>
  <c r="AJ18" i="67" s="1"/>
  <c r="BH5" i="60"/>
  <c r="O6" i="45"/>
  <c r="P6" i="45" s="1"/>
  <c r="O5" i="45"/>
  <c r="P5" i="45" s="1"/>
  <c r="D13" i="33"/>
  <c r="C14" i="33" s="1"/>
  <c r="B12" i="33"/>
  <c r="AB28" i="31"/>
  <c r="AA28" i="31"/>
  <c r="Z28" i="31"/>
  <c r="Y28" i="31"/>
  <c r="X28" i="31"/>
  <c r="J29" i="31"/>
  <c r="P29" i="31"/>
  <c r="O29" i="31"/>
  <c r="N29" i="31"/>
  <c r="U29" i="31"/>
  <c r="M29" i="31"/>
  <c r="T29" i="31"/>
  <c r="L29" i="31"/>
  <c r="S29" i="31"/>
  <c r="K29" i="31"/>
  <c r="D4" i="30"/>
  <c r="C7" i="29"/>
  <c r="A23" i="29" s="1"/>
  <c r="B23" i="29" s="1"/>
  <c r="F46" i="29"/>
  <c r="AJ20" i="67" l="1"/>
  <c r="AJ27" i="67"/>
  <c r="AJ36" i="67" s="1"/>
  <c r="AM11" i="67"/>
  <c r="AN31" i="67"/>
  <c r="AN33" i="67" s="1"/>
  <c r="AN34" i="67" s="1"/>
  <c r="AN35" i="67" s="1"/>
  <c r="AO30" i="67"/>
  <c r="AO32" i="67"/>
  <c r="AO29" i="67"/>
  <c r="AO6" i="67"/>
  <c r="AO8" i="67"/>
  <c r="AO7" i="67"/>
  <c r="AP4" i="67"/>
  <c r="AN9" i="67"/>
  <c r="BF68" i="60"/>
  <c r="AY6" i="64"/>
  <c r="AY8" i="64" s="1"/>
  <c r="AI5" i="64"/>
  <c r="BH12" i="60"/>
  <c r="BH10" i="60"/>
  <c r="BH8" i="60"/>
  <c r="BH6" i="60"/>
  <c r="BH15" i="60"/>
  <c r="BH7" i="60"/>
  <c r="BH14" i="60"/>
  <c r="BH11" i="60"/>
  <c r="BH9" i="60"/>
  <c r="BH13" i="60"/>
  <c r="BG16" i="60"/>
  <c r="DE12" i="60"/>
  <c r="DE13" i="60"/>
  <c r="DE14" i="60"/>
  <c r="DE11" i="60"/>
  <c r="DE9" i="60"/>
  <c r="DE7" i="60"/>
  <c r="DE6" i="60"/>
  <c r="DE15" i="60"/>
  <c r="DE10" i="60"/>
  <c r="DE8" i="60"/>
  <c r="DD16" i="60"/>
  <c r="AK18" i="67" s="1"/>
  <c r="DF5" i="60"/>
  <c r="BI5" i="60"/>
  <c r="D14" i="33"/>
  <c r="C15" i="33" s="1"/>
  <c r="B14" i="33"/>
  <c r="B13" i="33"/>
  <c r="D23" i="30"/>
  <c r="D30" i="30" s="1"/>
  <c r="D32" i="30" s="1"/>
  <c r="H9" i="30"/>
  <c r="F47" i="29"/>
  <c r="F48" i="29" s="1"/>
  <c r="AK20" i="67" l="1"/>
  <c r="AK27" i="67"/>
  <c r="AK36" i="67" s="1"/>
  <c r="AI7" i="64"/>
  <c r="AN11" i="67"/>
  <c r="AP30" i="67"/>
  <c r="AP32" i="67"/>
  <c r="AP29" i="67"/>
  <c r="AO31" i="67"/>
  <c r="AO33" i="67" s="1"/>
  <c r="AO34" i="67" s="1"/>
  <c r="AO35" i="67" s="1"/>
  <c r="AP8" i="67"/>
  <c r="AP6" i="67"/>
  <c r="AP7" i="67"/>
  <c r="AQ4" i="67"/>
  <c r="AO9" i="67"/>
  <c r="BG68" i="60"/>
  <c r="AZ6" i="64"/>
  <c r="AZ8" i="64" s="1"/>
  <c r="AJ5" i="64"/>
  <c r="BI8" i="60"/>
  <c r="BI7" i="60"/>
  <c r="BI10" i="60"/>
  <c r="BI11" i="60"/>
  <c r="BI12" i="60"/>
  <c r="BI13" i="60"/>
  <c r="BI14" i="60"/>
  <c r="BI15" i="60"/>
  <c r="BI9" i="60"/>
  <c r="BI6" i="60"/>
  <c r="DF11" i="60"/>
  <c r="DF13" i="60"/>
  <c r="DF14" i="60"/>
  <c r="DF12" i="60"/>
  <c r="DF8" i="60"/>
  <c r="DF15" i="60"/>
  <c r="DF10" i="60"/>
  <c r="DF7" i="60"/>
  <c r="DF9" i="60"/>
  <c r="DF6" i="60"/>
  <c r="BH16" i="60"/>
  <c r="DE16" i="60"/>
  <c r="AL18" i="67" s="1"/>
  <c r="DG5" i="60"/>
  <c r="BJ5" i="60"/>
  <c r="B15" i="33"/>
  <c r="D15" i="33"/>
  <c r="C16" i="33" s="1"/>
  <c r="R22" i="30"/>
  <c r="I9" i="30"/>
  <c r="J9" i="30" s="1"/>
  <c r="I11" i="30"/>
  <c r="J11" i="30" s="1"/>
  <c r="I10" i="30"/>
  <c r="J10" i="30" s="1"/>
  <c r="M6" i="12"/>
  <c r="AL20" i="67" l="1"/>
  <c r="AL27" i="67"/>
  <c r="AL36" i="67" s="1"/>
  <c r="AP31" i="67"/>
  <c r="AP33" i="67" s="1"/>
  <c r="AP34" i="67" s="1"/>
  <c r="AP35" i="67" s="1"/>
  <c r="AJ7" i="64"/>
  <c r="AO11" i="67"/>
  <c r="AQ32" i="67"/>
  <c r="AQ30" i="67"/>
  <c r="AQ29" i="67"/>
  <c r="AQ8" i="67"/>
  <c r="AQ7" i="67"/>
  <c r="AQ6" i="67"/>
  <c r="AR4" i="67"/>
  <c r="AP9" i="67"/>
  <c r="BH68" i="60"/>
  <c r="BA6" i="64"/>
  <c r="BA8" i="64" s="1"/>
  <c r="AK5" i="64"/>
  <c r="BI16" i="60"/>
  <c r="BJ11" i="60"/>
  <c r="BJ12" i="60"/>
  <c r="BJ13" i="60"/>
  <c r="BJ15" i="60"/>
  <c r="BJ7" i="60"/>
  <c r="BJ9" i="60"/>
  <c r="BJ10" i="60"/>
  <c r="BJ8" i="60"/>
  <c r="BJ6" i="60"/>
  <c r="BJ14" i="60"/>
  <c r="DG11" i="60"/>
  <c r="DG12" i="60"/>
  <c r="DG14" i="60"/>
  <c r="DG15" i="60"/>
  <c r="DG13" i="60"/>
  <c r="DG7" i="60"/>
  <c r="DG8" i="60"/>
  <c r="DG9" i="60"/>
  <c r="DG6" i="60"/>
  <c r="DG10" i="60"/>
  <c r="DF16" i="60"/>
  <c r="AM18" i="67" s="1"/>
  <c r="DH5" i="60"/>
  <c r="BK5" i="60"/>
  <c r="Z14" i="31"/>
  <c r="X14" i="31"/>
  <c r="Y14" i="31"/>
  <c r="AA14" i="31"/>
  <c r="W14" i="31"/>
  <c r="B34" i="29"/>
  <c r="B35" i="29" s="1"/>
  <c r="E23" i="29" s="1"/>
  <c r="C4" i="14"/>
  <c r="C6" i="14" s="1"/>
  <c r="D16" i="33"/>
  <c r="C17" i="33" s="1"/>
  <c r="B16" i="33"/>
  <c r="E53" i="16"/>
  <c r="AM20" i="67" l="1"/>
  <c r="AM27" i="67"/>
  <c r="AM36" i="67" s="1"/>
  <c r="AK7" i="64"/>
  <c r="AQ31" i="67"/>
  <c r="AQ33" i="67" s="1"/>
  <c r="AQ34" i="67" s="1"/>
  <c r="AQ35" i="67" s="1"/>
  <c r="AP11" i="67"/>
  <c r="AR30" i="67"/>
  <c r="AR32" i="67"/>
  <c r="AR29" i="67"/>
  <c r="AQ9" i="67"/>
  <c r="AR8" i="67"/>
  <c r="AR7" i="67"/>
  <c r="AR6" i="67"/>
  <c r="AS4" i="67"/>
  <c r="BI68" i="60"/>
  <c r="BB6" i="64"/>
  <c r="BB8" i="64" s="1"/>
  <c r="AL5" i="64"/>
  <c r="BJ16" i="60"/>
  <c r="BK10" i="60"/>
  <c r="BK9" i="60"/>
  <c r="BK15" i="60"/>
  <c r="BK8" i="60"/>
  <c r="BK14" i="60"/>
  <c r="BK6" i="60"/>
  <c r="BK7" i="60"/>
  <c r="BK13" i="60"/>
  <c r="BK11" i="60"/>
  <c r="BK12" i="60"/>
  <c r="DH12" i="60"/>
  <c r="DH13" i="60"/>
  <c r="DH14" i="60"/>
  <c r="DH15" i="60"/>
  <c r="DH11" i="60"/>
  <c r="DH8" i="60"/>
  <c r="DH9" i="60"/>
  <c r="DH10" i="60"/>
  <c r="DH7" i="60"/>
  <c r="DH6" i="60"/>
  <c r="DG16" i="60"/>
  <c r="AN18" i="67" s="1"/>
  <c r="DI5" i="60"/>
  <c r="BL5" i="60"/>
  <c r="B17" i="33"/>
  <c r="O4" i="45"/>
  <c r="P4" i="45" s="1"/>
  <c r="AN20" i="67" l="1"/>
  <c r="AN27" i="67"/>
  <c r="AN36" i="67" s="1"/>
  <c r="AL7" i="64"/>
  <c r="AQ11" i="67"/>
  <c r="AS30" i="67"/>
  <c r="AS32" i="67"/>
  <c r="AS29" i="67"/>
  <c r="AR31" i="67"/>
  <c r="AR33" i="67" s="1"/>
  <c r="AR34" i="67" s="1"/>
  <c r="AR35" i="67" s="1"/>
  <c r="AR9" i="67"/>
  <c r="AS6" i="67"/>
  <c r="AS8" i="67"/>
  <c r="AS7" i="67"/>
  <c r="AT4" i="67"/>
  <c r="BJ68" i="60"/>
  <c r="BC6" i="64"/>
  <c r="BC8" i="64" s="1"/>
  <c r="AM5" i="64"/>
  <c r="BL10" i="60"/>
  <c r="BL14" i="60"/>
  <c r="BL15" i="60"/>
  <c r="BL13" i="60"/>
  <c r="BL8" i="60"/>
  <c r="BL11" i="60"/>
  <c r="BL12" i="60"/>
  <c r="BL9" i="60"/>
  <c r="BL7" i="60"/>
  <c r="BL6" i="60"/>
  <c r="DI13" i="60"/>
  <c r="DI14" i="60"/>
  <c r="DI15" i="60"/>
  <c r="DI11" i="60"/>
  <c r="DI7" i="60"/>
  <c r="DI12" i="60"/>
  <c r="DI9" i="60"/>
  <c r="DI10" i="60"/>
  <c r="DI6" i="60"/>
  <c r="DI8" i="60"/>
  <c r="BK16" i="60"/>
  <c r="DJ5" i="60"/>
  <c r="DH16" i="60"/>
  <c r="AO18" i="67" s="1"/>
  <c r="BM5" i="60"/>
  <c r="O14" i="45"/>
  <c r="O12" i="45"/>
  <c r="O9" i="45"/>
  <c r="O7" i="45"/>
  <c r="O11" i="45"/>
  <c r="O10" i="45"/>
  <c r="O13" i="45"/>
  <c r="O8" i="45"/>
  <c r="AO27" i="67" l="1"/>
  <c r="AO36" i="67" s="1"/>
  <c r="AO20" i="67"/>
  <c r="AM7" i="64"/>
  <c r="AR11" i="67"/>
  <c r="AS31" i="67"/>
  <c r="AS33" i="67" s="1"/>
  <c r="AS34" i="67" s="1"/>
  <c r="AS35" i="67" s="1"/>
  <c r="AT30" i="67"/>
  <c r="AT32" i="67"/>
  <c r="AT29" i="67"/>
  <c r="AS9" i="67"/>
  <c r="AT8" i="67"/>
  <c r="AT6" i="67"/>
  <c r="AT7" i="67"/>
  <c r="AU4" i="67"/>
  <c r="BK68" i="60"/>
  <c r="BD6" i="64"/>
  <c r="BD8" i="64" s="1"/>
  <c r="AN5" i="64"/>
  <c r="BL16" i="60"/>
  <c r="BM6" i="60"/>
  <c r="BM9" i="60"/>
  <c r="BM15" i="60"/>
  <c r="BM13" i="60"/>
  <c r="BM14" i="60"/>
  <c r="BM11" i="60"/>
  <c r="BM8" i="60"/>
  <c r="BM7" i="60"/>
  <c r="BM10" i="60"/>
  <c r="BM12" i="60"/>
  <c r="DJ14" i="60"/>
  <c r="DJ15" i="60"/>
  <c r="DJ12" i="60"/>
  <c r="DJ8" i="60"/>
  <c r="DJ13" i="60"/>
  <c r="DJ10" i="60"/>
  <c r="DJ7" i="60"/>
  <c r="DJ6" i="60"/>
  <c r="DJ9" i="60"/>
  <c r="DJ11" i="60"/>
  <c r="DI16" i="60"/>
  <c r="AP18" i="67" s="1"/>
  <c r="DK5" i="60"/>
  <c r="BN5" i="60"/>
  <c r="P14" i="31"/>
  <c r="H9" i="15"/>
  <c r="R9" i="15"/>
  <c r="O9" i="15"/>
  <c r="N14" i="31"/>
  <c r="M9" i="15"/>
  <c r="J9" i="15"/>
  <c r="T9" i="15"/>
  <c r="I9" i="15"/>
  <c r="G9" i="15"/>
  <c r="O14" i="31"/>
  <c r="K9" i="15"/>
  <c r="Q14" i="31"/>
  <c r="K14" i="31"/>
  <c r="U14" i="31"/>
  <c r="T14" i="31"/>
  <c r="N9" i="15"/>
  <c r="G14" i="31"/>
  <c r="H14" i="31" s="1"/>
  <c r="R14" i="31"/>
  <c r="L9" i="15"/>
  <c r="J14" i="31"/>
  <c r="P9" i="15"/>
  <c r="S14" i="31"/>
  <c r="L14" i="31"/>
  <c r="U9" i="15"/>
  <c r="I14" i="31"/>
  <c r="M14" i="31"/>
  <c r="Q9" i="15"/>
  <c r="S9" i="15"/>
  <c r="V14" i="31"/>
  <c r="F4" i="33"/>
  <c r="F5" i="33"/>
  <c r="F6" i="33"/>
  <c r="F7" i="33"/>
  <c r="F8" i="33"/>
  <c r="F9" i="33"/>
  <c r="F10" i="33"/>
  <c r="F11" i="33"/>
  <c r="F12" i="33"/>
  <c r="F13" i="33"/>
  <c r="F14" i="33"/>
  <c r="F15" i="33"/>
  <c r="F16" i="33"/>
  <c r="F17" i="33"/>
  <c r="Y33" i="14"/>
  <c r="Z33" i="14"/>
  <c r="AA33" i="14"/>
  <c r="AB33" i="14"/>
  <c r="I25" i="14"/>
  <c r="J18" i="14"/>
  <c r="K18" i="14"/>
  <c r="L18" i="14"/>
  <c r="M18" i="14"/>
  <c r="N18" i="14"/>
  <c r="O18" i="14"/>
  <c r="P18" i="14"/>
  <c r="Q18" i="14"/>
  <c r="R18" i="14"/>
  <c r="S18" i="14"/>
  <c r="T18" i="14"/>
  <c r="U18" i="14"/>
  <c r="V18" i="14"/>
  <c r="W18" i="14"/>
  <c r="X18" i="14"/>
  <c r="Y18" i="14"/>
  <c r="Z18" i="14"/>
  <c r="AA18" i="14"/>
  <c r="AB18" i="14"/>
  <c r="I18" i="14"/>
  <c r="Y15" i="14"/>
  <c r="Z15" i="14"/>
  <c r="AA15" i="14"/>
  <c r="AB15" i="14"/>
  <c r="Y14" i="14"/>
  <c r="Z14" i="14"/>
  <c r="AA14" i="14"/>
  <c r="AB14" i="14"/>
  <c r="AP20" i="67" l="1"/>
  <c r="AP27" i="67"/>
  <c r="AP36" i="67" s="1"/>
  <c r="AN7" i="64"/>
  <c r="AS11" i="67"/>
  <c r="AT31" i="67"/>
  <c r="AT33" i="67" s="1"/>
  <c r="AT34" i="67" s="1"/>
  <c r="AT35" i="67" s="1"/>
  <c r="AU30" i="67"/>
  <c r="AU32" i="67"/>
  <c r="AU29" i="67"/>
  <c r="AU8" i="67"/>
  <c r="AU7" i="67"/>
  <c r="AU6" i="67"/>
  <c r="AV4" i="67"/>
  <c r="AT9" i="67"/>
  <c r="BL68" i="60"/>
  <c r="BE6" i="64"/>
  <c r="BE8" i="64" s="1"/>
  <c r="AO5" i="64"/>
  <c r="BM16" i="60"/>
  <c r="BN6" i="60"/>
  <c r="BN11" i="60"/>
  <c r="BN15" i="60"/>
  <c r="BN14" i="60"/>
  <c r="BN10" i="60"/>
  <c r="BN8" i="60"/>
  <c r="BN7" i="60"/>
  <c r="BN9" i="60"/>
  <c r="BN12" i="60"/>
  <c r="BN13" i="60"/>
  <c r="DK15" i="60"/>
  <c r="DK11" i="60"/>
  <c r="DK13" i="60"/>
  <c r="DK9" i="60"/>
  <c r="DK10" i="60"/>
  <c r="DK7" i="60"/>
  <c r="DK6" i="60"/>
  <c r="DK14" i="60"/>
  <c r="DK8" i="60"/>
  <c r="DK12" i="60"/>
  <c r="DL5" i="60"/>
  <c r="DJ16" i="60"/>
  <c r="AQ18" i="67" s="1"/>
  <c r="BO5" i="60"/>
  <c r="AA8" i="15"/>
  <c r="AA12" i="15"/>
  <c r="AQ20" i="67" l="1"/>
  <c r="AQ27" i="67"/>
  <c r="AQ36" i="67" s="1"/>
  <c r="AO7" i="64"/>
  <c r="AT11" i="67"/>
  <c r="AU31" i="67"/>
  <c r="AU33" i="67" s="1"/>
  <c r="AU34" i="67" s="1"/>
  <c r="AU35" i="67" s="1"/>
  <c r="AV30" i="67"/>
  <c r="AV32" i="67"/>
  <c r="AV29" i="67"/>
  <c r="AU9" i="67"/>
  <c r="AV7" i="67"/>
  <c r="AV6" i="67"/>
  <c r="AV8" i="67"/>
  <c r="AW4" i="67"/>
  <c r="BM68" i="60"/>
  <c r="BF6" i="64"/>
  <c r="BF8" i="64" s="1"/>
  <c r="AP5" i="64"/>
  <c r="BN16" i="60"/>
  <c r="BO12" i="60"/>
  <c r="BO10" i="60"/>
  <c r="BO15" i="60"/>
  <c r="BO7" i="60"/>
  <c r="BO6" i="60"/>
  <c r="BO14" i="60"/>
  <c r="BO13" i="60"/>
  <c r="BO8" i="60"/>
  <c r="BO11" i="60"/>
  <c r="BO9" i="60"/>
  <c r="DL11" i="60"/>
  <c r="DL12" i="60"/>
  <c r="DL10" i="60"/>
  <c r="DL14" i="60"/>
  <c r="DL8" i="60"/>
  <c r="DL6" i="60"/>
  <c r="DL13" i="60"/>
  <c r="DL9" i="60"/>
  <c r="DL7" i="60"/>
  <c r="DL15" i="60"/>
  <c r="DK16" i="60"/>
  <c r="AR18" i="67" s="1"/>
  <c r="DM5" i="60"/>
  <c r="BP5" i="60"/>
  <c r="G22" i="12"/>
  <c r="G21" i="12"/>
  <c r="R11" i="12"/>
  <c r="AA19" i="12"/>
  <c r="AB19" i="12"/>
  <c r="AC19" i="12"/>
  <c r="AD19" i="12"/>
  <c r="AE19" i="12"/>
  <c r="AF19" i="12"/>
  <c r="AG19" i="12"/>
  <c r="AH19" i="12"/>
  <c r="AI19" i="12"/>
  <c r="AJ19" i="12"/>
  <c r="AK19" i="12"/>
  <c r="AL19" i="12"/>
  <c r="AM19" i="12"/>
  <c r="AN19" i="12"/>
  <c r="AO19" i="12"/>
  <c r="AX19" i="12"/>
  <c r="AY19" i="12"/>
  <c r="AZ19" i="12"/>
  <c r="BA19" i="12"/>
  <c r="BB19" i="12"/>
  <c r="BC19" i="12"/>
  <c r="BD19" i="12"/>
  <c r="BE19" i="12"/>
  <c r="BF19" i="12"/>
  <c r="G19" i="12"/>
  <c r="H19" i="12"/>
  <c r="I19" i="12"/>
  <c r="J19" i="12"/>
  <c r="K19" i="12"/>
  <c r="L19" i="12"/>
  <c r="M19" i="12"/>
  <c r="N19" i="12"/>
  <c r="O19" i="12"/>
  <c r="P19" i="12"/>
  <c r="Q19" i="12"/>
  <c r="R19" i="12"/>
  <c r="H25" i="12"/>
  <c r="I25" i="12"/>
  <c r="J25" i="12"/>
  <c r="K25" i="12"/>
  <c r="L25" i="12"/>
  <c r="M25" i="12"/>
  <c r="N25" i="12"/>
  <c r="O25" i="12"/>
  <c r="P25" i="12"/>
  <c r="Q25" i="12"/>
  <c r="Z25" i="12"/>
  <c r="AA25" i="12"/>
  <c r="AB25" i="12"/>
  <c r="AC25" i="12"/>
  <c r="AD25" i="12"/>
  <c r="AE25" i="12"/>
  <c r="AF25" i="12"/>
  <c r="AG25" i="12"/>
  <c r="AH25" i="12"/>
  <c r="AI25" i="12"/>
  <c r="AJ25" i="12"/>
  <c r="AK25" i="12"/>
  <c r="AL25" i="12"/>
  <c r="AM25" i="12"/>
  <c r="AN25" i="12"/>
  <c r="AW25" i="12"/>
  <c r="AX25" i="12"/>
  <c r="AY25" i="12"/>
  <c r="AZ25" i="12"/>
  <c r="BA25" i="12"/>
  <c r="BB25" i="12"/>
  <c r="BC25" i="12"/>
  <c r="BD25" i="12"/>
  <c r="BE25" i="12"/>
  <c r="BF25" i="12"/>
  <c r="G25" i="12"/>
  <c r="G24" i="12"/>
  <c r="H24" i="12"/>
  <c r="I24" i="12"/>
  <c r="J24" i="12"/>
  <c r="K24" i="12"/>
  <c r="L24" i="12"/>
  <c r="M24" i="12"/>
  <c r="N24" i="12"/>
  <c r="O24" i="12"/>
  <c r="P24" i="12"/>
  <c r="Q24" i="12"/>
  <c r="Z24" i="12"/>
  <c r="AA24" i="12"/>
  <c r="AB24" i="12"/>
  <c r="AC24" i="12"/>
  <c r="AD24" i="12"/>
  <c r="AE24" i="12"/>
  <c r="AF24" i="12"/>
  <c r="AG24" i="12"/>
  <c r="AH24" i="12"/>
  <c r="AI24" i="12"/>
  <c r="AJ24" i="12"/>
  <c r="AK24" i="12"/>
  <c r="AL24" i="12"/>
  <c r="AM24" i="12"/>
  <c r="AN24" i="12"/>
  <c r="AW24" i="12"/>
  <c r="AY24" i="12"/>
  <c r="AZ24" i="12"/>
  <c r="BA24" i="12"/>
  <c r="BB24" i="12"/>
  <c r="BC24" i="12"/>
  <c r="BD24" i="12"/>
  <c r="BE24" i="12"/>
  <c r="BF24" i="12"/>
  <c r="M5" i="12"/>
  <c r="AR20" i="67" l="1"/>
  <c r="AR27" i="67"/>
  <c r="AR36" i="67" s="1"/>
  <c r="AP7" i="64"/>
  <c r="AU11" i="67"/>
  <c r="AV31" i="67"/>
  <c r="AV33" i="67" s="1"/>
  <c r="AV34" i="67" s="1"/>
  <c r="AV35" i="67" s="1"/>
  <c r="AW32" i="67"/>
  <c r="AW30" i="67"/>
  <c r="AW29" i="67"/>
  <c r="AW6" i="67"/>
  <c r="AW8" i="67"/>
  <c r="AW7" i="67"/>
  <c r="AX4" i="67"/>
  <c r="AV9" i="67"/>
  <c r="BN68" i="60"/>
  <c r="BG6" i="64"/>
  <c r="BG8" i="64" s="1"/>
  <c r="AQ5" i="64"/>
  <c r="BP15" i="60"/>
  <c r="BP7" i="60"/>
  <c r="BP10" i="60"/>
  <c r="BP11" i="60"/>
  <c r="BP6" i="60"/>
  <c r="BP9" i="60"/>
  <c r="BP12" i="60"/>
  <c r="BP13" i="60"/>
  <c r="BP8" i="60"/>
  <c r="BP14" i="60"/>
  <c r="DM12" i="60"/>
  <c r="DM13" i="60"/>
  <c r="DM15" i="60"/>
  <c r="DM11" i="60"/>
  <c r="DM9" i="60"/>
  <c r="DM6" i="60"/>
  <c r="DM8" i="60"/>
  <c r="DM10" i="60"/>
  <c r="DM14" i="60"/>
  <c r="DM7" i="60"/>
  <c r="BO16" i="60"/>
  <c r="DN5" i="60"/>
  <c r="DL16" i="60"/>
  <c r="AS18" i="67" s="1"/>
  <c r="BQ5" i="60"/>
  <c r="C28" i="14"/>
  <c r="Y34" i="14"/>
  <c r="Z34" i="14"/>
  <c r="AA34" i="14"/>
  <c r="AB34" i="14"/>
  <c r="Y35" i="14"/>
  <c r="Z35" i="14"/>
  <c r="AA35" i="14"/>
  <c r="AB35" i="14"/>
  <c r="F12" i="12"/>
  <c r="AS20" i="67" l="1"/>
  <c r="AS27" i="67"/>
  <c r="AS36" i="67" s="1"/>
  <c r="AQ7" i="64"/>
  <c r="AV11" i="67"/>
  <c r="AW31" i="67"/>
  <c r="AW33" i="67" s="1"/>
  <c r="AW34" i="67" s="1"/>
  <c r="AW35" i="67" s="1"/>
  <c r="AX30" i="67"/>
  <c r="AX32" i="67"/>
  <c r="AX29" i="67"/>
  <c r="AX8" i="67"/>
  <c r="AX6" i="67"/>
  <c r="AX7" i="67"/>
  <c r="AY4" i="67"/>
  <c r="AW9" i="67"/>
  <c r="BO68" i="60"/>
  <c r="BH6" i="64"/>
  <c r="BH8" i="64" s="1"/>
  <c r="AR5" i="64"/>
  <c r="BQ13" i="60"/>
  <c r="BQ10" i="60"/>
  <c r="BQ11" i="60"/>
  <c r="BQ14" i="60"/>
  <c r="BQ8" i="60"/>
  <c r="BQ6" i="60"/>
  <c r="BQ7" i="60"/>
  <c r="BQ9" i="60"/>
  <c r="BQ15" i="60"/>
  <c r="BQ12" i="60"/>
  <c r="DN11" i="60"/>
  <c r="DN13" i="60"/>
  <c r="DN14" i="60"/>
  <c r="DN15" i="60"/>
  <c r="DN8" i="60"/>
  <c r="DN12" i="60"/>
  <c r="DN10" i="60"/>
  <c r="DN9" i="60"/>
  <c r="DN7" i="60"/>
  <c r="DN6" i="60"/>
  <c r="BP16" i="60"/>
  <c r="DO5" i="60"/>
  <c r="DM16" i="60"/>
  <c r="AT18" i="67" s="1"/>
  <c r="BR5" i="60"/>
  <c r="R34" i="14"/>
  <c r="J34" i="14"/>
  <c r="I34" i="14"/>
  <c r="Q34" i="14"/>
  <c r="H34" i="14"/>
  <c r="H35" i="14" s="1"/>
  <c r="P34" i="14"/>
  <c r="O34" i="14"/>
  <c r="V34" i="14"/>
  <c r="N34" i="14"/>
  <c r="U34" i="14"/>
  <c r="M34" i="14"/>
  <c r="G34" i="14"/>
  <c r="G35" i="14" s="1"/>
  <c r="T34" i="14"/>
  <c r="L34" i="14"/>
  <c r="K34" i="14"/>
  <c r="J8" i="14"/>
  <c r="I4" i="12"/>
  <c r="H21" i="12"/>
  <c r="I21" i="12"/>
  <c r="J21" i="12"/>
  <c r="K21" i="12"/>
  <c r="L21" i="12"/>
  <c r="M21" i="12"/>
  <c r="N21" i="12"/>
  <c r="O21" i="12"/>
  <c r="P21" i="12"/>
  <c r="Q21" i="12"/>
  <c r="S21" i="12"/>
  <c r="T21" i="12"/>
  <c r="U21" i="12"/>
  <c r="V21" i="12"/>
  <c r="W21" i="12"/>
  <c r="X21" i="12"/>
  <c r="Y21" i="12"/>
  <c r="Z21" i="12"/>
  <c r="AB21" i="12"/>
  <c r="AC21" i="12"/>
  <c r="AD21" i="12"/>
  <c r="AE21" i="12"/>
  <c r="AF21" i="12"/>
  <c r="AG21" i="12"/>
  <c r="AH21" i="12"/>
  <c r="AI21" i="12"/>
  <c r="AJ21" i="12"/>
  <c r="AK21" i="12"/>
  <c r="AL21" i="12"/>
  <c r="AM21" i="12"/>
  <c r="AN21" i="12"/>
  <c r="AP21" i="12"/>
  <c r="AQ21" i="12"/>
  <c r="AR21" i="12"/>
  <c r="AS21" i="12"/>
  <c r="AT21" i="12"/>
  <c r="AU21" i="12"/>
  <c r="AV21" i="12"/>
  <c r="AW21" i="12"/>
  <c r="AY21" i="12"/>
  <c r="AZ21" i="12"/>
  <c r="BA21" i="12"/>
  <c r="BB21" i="12"/>
  <c r="BC21" i="12"/>
  <c r="BD21" i="12"/>
  <c r="BE21" i="12"/>
  <c r="BF21" i="12"/>
  <c r="H22" i="12"/>
  <c r="I22" i="12"/>
  <c r="J22" i="12"/>
  <c r="K22" i="12"/>
  <c r="L22" i="12"/>
  <c r="M22" i="12"/>
  <c r="N22" i="12"/>
  <c r="O22" i="12"/>
  <c r="P22" i="12"/>
  <c r="Q22" i="12"/>
  <c r="AB22" i="12"/>
  <c r="AC22" i="12"/>
  <c r="AD22" i="12"/>
  <c r="AE22" i="12"/>
  <c r="AF22" i="12"/>
  <c r="AG22" i="12"/>
  <c r="AH22" i="12"/>
  <c r="AI22" i="12"/>
  <c r="BB22" i="12"/>
  <c r="BC22" i="12"/>
  <c r="BD22" i="12"/>
  <c r="BE22" i="12"/>
  <c r="BF22" i="12"/>
  <c r="AT20" i="67" l="1"/>
  <c r="AT27" i="67"/>
  <c r="AT36" i="67" s="1"/>
  <c r="AR7" i="64"/>
  <c r="AW11" i="67"/>
  <c r="AX31" i="67"/>
  <c r="AX33" i="67" s="1"/>
  <c r="AX34" i="67" s="1"/>
  <c r="AX35" i="67" s="1"/>
  <c r="AY30" i="67"/>
  <c r="AY32" i="67"/>
  <c r="AY29" i="67"/>
  <c r="AY8" i="67"/>
  <c r="AY7" i="67"/>
  <c r="AY6" i="67"/>
  <c r="AZ4" i="67"/>
  <c r="AX9" i="67"/>
  <c r="BP68" i="60"/>
  <c r="BI6" i="64"/>
  <c r="BI8" i="64" s="1"/>
  <c r="AS5" i="64"/>
  <c r="BR14" i="60"/>
  <c r="BR15" i="60"/>
  <c r="BR8" i="60"/>
  <c r="BR9" i="60"/>
  <c r="BR13" i="60"/>
  <c r="BR10" i="60"/>
  <c r="BR7" i="60"/>
  <c r="BR11" i="60"/>
  <c r="BR12" i="60"/>
  <c r="BR6" i="60"/>
  <c r="DO11" i="60"/>
  <c r="DO12" i="60"/>
  <c r="DO13" i="60"/>
  <c r="DO14" i="60"/>
  <c r="DO15" i="60"/>
  <c r="DO7" i="60"/>
  <c r="DO8" i="60"/>
  <c r="DO9" i="60"/>
  <c r="DO10" i="60"/>
  <c r="DO6" i="60"/>
  <c r="BQ16" i="60"/>
  <c r="DP5" i="60"/>
  <c r="DN16" i="60"/>
  <c r="AU18" i="67" s="1"/>
  <c r="BS5" i="60"/>
  <c r="W32" i="14"/>
  <c r="J28" i="14"/>
  <c r="S10" i="14"/>
  <c r="P32" i="14"/>
  <c r="Y25" i="14"/>
  <c r="R10" i="14"/>
  <c r="I28" i="14"/>
  <c r="O32" i="14"/>
  <c r="X25" i="14"/>
  <c r="K10" i="14"/>
  <c r="AA28" i="14"/>
  <c r="Q25" i="14"/>
  <c r="J10" i="14"/>
  <c r="Z28" i="14"/>
  <c r="P25" i="14"/>
  <c r="Y8" i="14"/>
  <c r="S28" i="14"/>
  <c r="X8" i="14"/>
  <c r="R28" i="14"/>
  <c r="AA10" i="14"/>
  <c r="Q8" i="14"/>
  <c r="X32" i="14"/>
  <c r="K28" i="14"/>
  <c r="Z10" i="14"/>
  <c r="P8" i="14"/>
  <c r="V32" i="14"/>
  <c r="N32" i="14"/>
  <c r="Y28" i="14"/>
  <c r="Q28" i="14"/>
  <c r="W25" i="14"/>
  <c r="O25" i="14"/>
  <c r="Y10" i="14"/>
  <c r="Q10" i="14"/>
  <c r="W8" i="14"/>
  <c r="O8" i="14"/>
  <c r="I32" i="14"/>
  <c r="U32" i="14"/>
  <c r="M32" i="14"/>
  <c r="X28" i="14"/>
  <c r="P28" i="14"/>
  <c r="V25" i="14"/>
  <c r="N25" i="14"/>
  <c r="X10" i="14"/>
  <c r="P10" i="14"/>
  <c r="V8" i="14"/>
  <c r="N8" i="14"/>
  <c r="AB32" i="14"/>
  <c r="T32" i="14"/>
  <c r="L32" i="14"/>
  <c r="W28" i="14"/>
  <c r="O28" i="14"/>
  <c r="U25" i="14"/>
  <c r="M25" i="14"/>
  <c r="W10" i="14"/>
  <c r="O10" i="14"/>
  <c r="U8" i="14"/>
  <c r="M8" i="14"/>
  <c r="AA32" i="14"/>
  <c r="S32" i="14"/>
  <c r="K32" i="14"/>
  <c r="V28" i="14"/>
  <c r="N28" i="14"/>
  <c r="AB25" i="14"/>
  <c r="T25" i="14"/>
  <c r="L25" i="14"/>
  <c r="V10" i="14"/>
  <c r="N10" i="14"/>
  <c r="AB8" i="14"/>
  <c r="T8" i="14"/>
  <c r="L8" i="14"/>
  <c r="Z32" i="14"/>
  <c r="R32" i="14"/>
  <c r="J32" i="14"/>
  <c r="U28" i="14"/>
  <c r="M28" i="14"/>
  <c r="AA25" i="14"/>
  <c r="S25" i="14"/>
  <c r="K25" i="14"/>
  <c r="U10" i="14"/>
  <c r="M10" i="14"/>
  <c r="AA8" i="14"/>
  <c r="S8" i="14"/>
  <c r="K8" i="14"/>
  <c r="Y32" i="14"/>
  <c r="Q32" i="14"/>
  <c r="AB28" i="14"/>
  <c r="T28" i="14"/>
  <c r="L28" i="14"/>
  <c r="Z25" i="14"/>
  <c r="R25" i="14"/>
  <c r="J25" i="14"/>
  <c r="AB10" i="14"/>
  <c r="T10" i="14"/>
  <c r="L10" i="14"/>
  <c r="Z8" i="14"/>
  <c r="R8" i="14"/>
  <c r="G26" i="14"/>
  <c r="H26" i="14"/>
  <c r="H19" i="14"/>
  <c r="G19" i="14"/>
  <c r="H11" i="17"/>
  <c r="G11" i="17"/>
  <c r="H11" i="14"/>
  <c r="G11" i="14"/>
  <c r="AU20" i="67" l="1"/>
  <c r="AU27" i="67"/>
  <c r="AU36" i="67" s="1"/>
  <c r="AS7" i="64"/>
  <c r="AX11" i="67"/>
  <c r="AY31" i="67"/>
  <c r="AY33" i="67" s="1"/>
  <c r="AY34" i="67" s="1"/>
  <c r="AY35" i="67" s="1"/>
  <c r="AZ30" i="67"/>
  <c r="AZ32" i="67"/>
  <c r="AZ29" i="67"/>
  <c r="AY9" i="67"/>
  <c r="AZ8" i="67"/>
  <c r="AZ7" i="67"/>
  <c r="AZ6" i="67"/>
  <c r="BA4" i="67"/>
  <c r="BQ68" i="60"/>
  <c r="BJ6" i="64"/>
  <c r="BJ8" i="64" s="1"/>
  <c r="AT5" i="64"/>
  <c r="BR16" i="60"/>
  <c r="BS9" i="60"/>
  <c r="BS14" i="60"/>
  <c r="BS6" i="60"/>
  <c r="BS7" i="60"/>
  <c r="BS10" i="60"/>
  <c r="BS8" i="60"/>
  <c r="BS11" i="60"/>
  <c r="BS15" i="60"/>
  <c r="BS12" i="60"/>
  <c r="BS13" i="60"/>
  <c r="DP12" i="60"/>
  <c r="DP13" i="60"/>
  <c r="DP14" i="60"/>
  <c r="DP15" i="60"/>
  <c r="DP8" i="60"/>
  <c r="DP9" i="60"/>
  <c r="DP10" i="60"/>
  <c r="DP11" i="60"/>
  <c r="DP7" i="60"/>
  <c r="DP6" i="60"/>
  <c r="DQ5" i="60"/>
  <c r="DO16" i="60"/>
  <c r="AV18" i="67" s="1"/>
  <c r="BT5" i="60"/>
  <c r="F3" i="18"/>
  <c r="M4" i="12"/>
  <c r="G22" i="14"/>
  <c r="G44" i="14" s="1"/>
  <c r="H22" i="14"/>
  <c r="H30" i="14" s="1"/>
  <c r="AZ31" i="67" l="1"/>
  <c r="AZ33" i="67" s="1"/>
  <c r="AZ34" i="67" s="1"/>
  <c r="AZ35" i="67" s="1"/>
  <c r="AU7" i="64" s="1"/>
  <c r="AV27" i="67"/>
  <c r="AV36" i="67" s="1"/>
  <c r="AV20" i="67"/>
  <c r="AT7" i="64"/>
  <c r="AY11" i="67"/>
  <c r="BA30" i="67"/>
  <c r="BA32" i="67"/>
  <c r="BA29" i="67"/>
  <c r="AZ9" i="67"/>
  <c r="BA6" i="67"/>
  <c r="BA8" i="67"/>
  <c r="BA7" i="67"/>
  <c r="BB4" i="67"/>
  <c r="BR68" i="60"/>
  <c r="BK6" i="64"/>
  <c r="BK8" i="64" s="1"/>
  <c r="AU5" i="64"/>
  <c r="DQ13" i="60"/>
  <c r="DQ14" i="60"/>
  <c r="DQ15" i="60"/>
  <c r="DQ7" i="60"/>
  <c r="DQ9" i="60"/>
  <c r="DQ10" i="60"/>
  <c r="DQ11" i="60"/>
  <c r="DQ8" i="60"/>
  <c r="DQ6" i="60"/>
  <c r="DQ12" i="60"/>
  <c r="BT10" i="60"/>
  <c r="BT7" i="60"/>
  <c r="BT12" i="60"/>
  <c r="BT15" i="60"/>
  <c r="BT14" i="60"/>
  <c r="BT13" i="60"/>
  <c r="BT9" i="60"/>
  <c r="BT8" i="60"/>
  <c r="BT11" i="60"/>
  <c r="BT6" i="60"/>
  <c r="BS16" i="60"/>
  <c r="DP16" i="60"/>
  <c r="AW18" i="67" s="1"/>
  <c r="DR5" i="60"/>
  <c r="BU5" i="60"/>
  <c r="S18" i="12"/>
  <c r="R25" i="12" s="1"/>
  <c r="H44" i="14"/>
  <c r="H37" i="14"/>
  <c r="W18" i="12"/>
  <c r="V25" i="12" s="1"/>
  <c r="V18" i="12"/>
  <c r="U25" i="12" s="1"/>
  <c r="AT18" i="12"/>
  <c r="AS25" i="12" s="1"/>
  <c r="AR18" i="12"/>
  <c r="AQ25" i="12" s="1"/>
  <c r="AV18" i="12"/>
  <c r="AU25" i="12" s="1"/>
  <c r="AP18" i="12"/>
  <c r="AO25" i="12" s="1"/>
  <c r="X18" i="12"/>
  <c r="W25" i="12" s="1"/>
  <c r="Y18" i="12"/>
  <c r="X25" i="12" s="1"/>
  <c r="Z18" i="12"/>
  <c r="Y25" i="12" s="1"/>
  <c r="T18" i="12"/>
  <c r="S25" i="12" s="1"/>
  <c r="AQ18" i="12"/>
  <c r="AP25" i="12" s="1"/>
  <c r="U18" i="12"/>
  <c r="T25" i="12" s="1"/>
  <c r="AS18" i="12"/>
  <c r="AR25" i="12" s="1"/>
  <c r="AW18" i="12"/>
  <c r="AV25" i="12" s="1"/>
  <c r="AU18" i="12"/>
  <c r="AT25" i="12" s="1"/>
  <c r="H42" i="14"/>
  <c r="G42" i="14"/>
  <c r="AW20" i="67" l="1"/>
  <c r="AW27" i="67"/>
  <c r="AW36" i="67" s="1"/>
  <c r="AZ11" i="67"/>
  <c r="BA31" i="67"/>
  <c r="BA33" i="67" s="1"/>
  <c r="BA34" i="67" s="1"/>
  <c r="BA35" i="67" s="1"/>
  <c r="BB30" i="67"/>
  <c r="BB32" i="67"/>
  <c r="BB29" i="67"/>
  <c r="BB8" i="67"/>
  <c r="BB6" i="67"/>
  <c r="BB7" i="67"/>
  <c r="BC4" i="67"/>
  <c r="BA9" i="67"/>
  <c r="BS68" i="60"/>
  <c r="BL6" i="64"/>
  <c r="BL8" i="64" s="1"/>
  <c r="AV5" i="64"/>
  <c r="BU15" i="60"/>
  <c r="BU9" i="60"/>
  <c r="BU14" i="60"/>
  <c r="BU11" i="60"/>
  <c r="BU10" i="60"/>
  <c r="BU8" i="60"/>
  <c r="BU7" i="60"/>
  <c r="BU12" i="60"/>
  <c r="BU13" i="60"/>
  <c r="BU6" i="60"/>
  <c r="DR14" i="60"/>
  <c r="DR15" i="60"/>
  <c r="DR8" i="60"/>
  <c r="DR10" i="60"/>
  <c r="DR11" i="60"/>
  <c r="DR12" i="60"/>
  <c r="DR13" i="60"/>
  <c r="DR9" i="60"/>
  <c r="DR6" i="60"/>
  <c r="DR7" i="60"/>
  <c r="BT16" i="60"/>
  <c r="DQ16" i="60"/>
  <c r="AX18" i="67" s="1"/>
  <c r="DS5" i="60"/>
  <c r="BV5" i="60"/>
  <c r="F25" i="12"/>
  <c r="F18" i="12"/>
  <c r="H46" i="14"/>
  <c r="H48" i="14"/>
  <c r="G37" i="14"/>
  <c r="AX20" i="67" l="1"/>
  <c r="AX27" i="67"/>
  <c r="AX36" i="67" s="1"/>
  <c r="AV7" i="64"/>
  <c r="BA11" i="67"/>
  <c r="BB31" i="67"/>
  <c r="BB33" i="67" s="1"/>
  <c r="BB34" i="67" s="1"/>
  <c r="BB35" i="67" s="1"/>
  <c r="BC30" i="67"/>
  <c r="BC32" i="67"/>
  <c r="BC29" i="67"/>
  <c r="BB9" i="67"/>
  <c r="BC8" i="67"/>
  <c r="BC7" i="67"/>
  <c r="BC6" i="67"/>
  <c r="BD4" i="67"/>
  <c r="BT68" i="60"/>
  <c r="BM6" i="64"/>
  <c r="BM8" i="64" s="1"/>
  <c r="AW5" i="64"/>
  <c r="BW5" i="60"/>
  <c r="BV12" i="60"/>
  <c r="BV11" i="60"/>
  <c r="BV9" i="60"/>
  <c r="BV15" i="60"/>
  <c r="BV14" i="60"/>
  <c r="BV10" i="60"/>
  <c r="BV7" i="60"/>
  <c r="BV13" i="60"/>
  <c r="BV6" i="60"/>
  <c r="BV8" i="60"/>
  <c r="BU16" i="60"/>
  <c r="DS15" i="60"/>
  <c r="DS11" i="60"/>
  <c r="DS9" i="60"/>
  <c r="DS10" i="60"/>
  <c r="DS12" i="60"/>
  <c r="DS14" i="60"/>
  <c r="DS13" i="60"/>
  <c r="DS8" i="60"/>
  <c r="DS6" i="60"/>
  <c r="DS7" i="60"/>
  <c r="DT5" i="60"/>
  <c r="DR16" i="60"/>
  <c r="AY18" i="67" s="1"/>
  <c r="G48" i="14"/>
  <c r="G46" i="14"/>
  <c r="AA7" i="15"/>
  <c r="E52" i="16"/>
  <c r="E24" i="16"/>
  <c r="E23" i="16"/>
  <c r="E22" i="16"/>
  <c r="E21" i="16"/>
  <c r="E20" i="16"/>
  <c r="AA11" i="15"/>
  <c r="AY20" i="67" l="1"/>
  <c r="AY27" i="67"/>
  <c r="AY36" i="67" s="1"/>
  <c r="BC31" i="67"/>
  <c r="BC33" i="67" s="1"/>
  <c r="BC34" i="67" s="1"/>
  <c r="BC35" i="67" s="1"/>
  <c r="AW7" i="64"/>
  <c r="BB11" i="67"/>
  <c r="BD30" i="67"/>
  <c r="BD32" i="67"/>
  <c r="BD29" i="67"/>
  <c r="BC9" i="67"/>
  <c r="BD7" i="67"/>
  <c r="BD6" i="67"/>
  <c r="BD8" i="67"/>
  <c r="BE4" i="67"/>
  <c r="BU68" i="60"/>
  <c r="BN6" i="64"/>
  <c r="BN8" i="64" s="1"/>
  <c r="AX5" i="64"/>
  <c r="DT11" i="60"/>
  <c r="DT12" i="60"/>
  <c r="DT10" i="60"/>
  <c r="DT15" i="60"/>
  <c r="DT14" i="60"/>
  <c r="DT13" i="60"/>
  <c r="DT8" i="60"/>
  <c r="DT6" i="60"/>
  <c r="DT7" i="60"/>
  <c r="DT9" i="60"/>
  <c r="BW10" i="60"/>
  <c r="BW15" i="60"/>
  <c r="BW14" i="60"/>
  <c r="BW13" i="60"/>
  <c r="BW6" i="60"/>
  <c r="BW11" i="60"/>
  <c r="BW9" i="60"/>
  <c r="BW7" i="60"/>
  <c r="BX5" i="60"/>
  <c r="BW8" i="60"/>
  <c r="BW12" i="60"/>
  <c r="BV16" i="60"/>
  <c r="DS16" i="60"/>
  <c r="AZ18" i="67" s="1"/>
  <c r="DU5" i="60"/>
  <c r="F13" i="12"/>
  <c r="G20" i="12"/>
  <c r="F15" i="12"/>
  <c r="F14" i="12"/>
  <c r="AZ20" i="67" l="1"/>
  <c r="AZ27" i="67"/>
  <c r="AZ36" i="67" s="1"/>
  <c r="AX7" i="64"/>
  <c r="BC11" i="67"/>
  <c r="BD31" i="67"/>
  <c r="BD33" i="67" s="1"/>
  <c r="BD34" i="67" s="1"/>
  <c r="BD35" i="67" s="1"/>
  <c r="BE30" i="67"/>
  <c r="BE32" i="67"/>
  <c r="BE29" i="67"/>
  <c r="BD9" i="67"/>
  <c r="BE6" i="67"/>
  <c r="BE8" i="67"/>
  <c r="BE7" i="67"/>
  <c r="BF4" i="67"/>
  <c r="BV68" i="60"/>
  <c r="BO6" i="64"/>
  <c r="BO8" i="64" s="1"/>
  <c r="BW16" i="60"/>
  <c r="AY5" i="64"/>
  <c r="DU12" i="60"/>
  <c r="DU13" i="60"/>
  <c r="DU15" i="60"/>
  <c r="DU14" i="60"/>
  <c r="DU11" i="60"/>
  <c r="DU9" i="60"/>
  <c r="DU8" i="60"/>
  <c r="DU7" i="60"/>
  <c r="DU10" i="60"/>
  <c r="DU6" i="60"/>
  <c r="BX11" i="60"/>
  <c r="BX12" i="60"/>
  <c r="BX10" i="60"/>
  <c r="BX14" i="60"/>
  <c r="BX6" i="60"/>
  <c r="BX9" i="60"/>
  <c r="BX13" i="60"/>
  <c r="BX7" i="60"/>
  <c r="BX15" i="60"/>
  <c r="BX8" i="60"/>
  <c r="BY5" i="60"/>
  <c r="DT16" i="60"/>
  <c r="BA18" i="67" s="1"/>
  <c r="DV5" i="60"/>
  <c r="B15" i="12"/>
  <c r="B14" i="12"/>
  <c r="B13" i="12"/>
  <c r="BA27" i="67" l="1"/>
  <c r="BA36" i="67" s="1"/>
  <c r="BA20" i="67"/>
  <c r="AY7" i="64"/>
  <c r="BD11" i="67"/>
  <c r="BE31" i="67"/>
  <c r="BE33" i="67" s="1"/>
  <c r="BE34" i="67" s="1"/>
  <c r="BE35" i="67" s="1"/>
  <c r="BF30" i="67"/>
  <c r="BF32" i="67"/>
  <c r="BF29" i="67"/>
  <c r="BF8" i="67"/>
  <c r="BF6" i="67"/>
  <c r="BF7" i="67"/>
  <c r="BG4" i="67"/>
  <c r="BE9" i="67"/>
  <c r="BW68" i="60"/>
  <c r="BP6" i="64"/>
  <c r="BP8" i="64" s="1"/>
  <c r="AZ5" i="64"/>
  <c r="DV11" i="60"/>
  <c r="DV13" i="60"/>
  <c r="DV14" i="60"/>
  <c r="DV15" i="60"/>
  <c r="DV12" i="60"/>
  <c r="DV8" i="60"/>
  <c r="DV10" i="60"/>
  <c r="DV7" i="60"/>
  <c r="DV9" i="60"/>
  <c r="DV6" i="60"/>
  <c r="BX16" i="60"/>
  <c r="BY7" i="60"/>
  <c r="BY15" i="60"/>
  <c r="BY14" i="60"/>
  <c r="BY8" i="60"/>
  <c r="BY13" i="60"/>
  <c r="BY12" i="60"/>
  <c r="BY6" i="60"/>
  <c r="BY9" i="60"/>
  <c r="BY10" i="60"/>
  <c r="BY11" i="60"/>
  <c r="BZ5" i="60"/>
  <c r="DW5" i="60"/>
  <c r="DU16" i="60"/>
  <c r="BB18" i="67" s="1"/>
  <c r="AK22" i="12"/>
  <c r="AM22" i="12"/>
  <c r="AN22" i="12"/>
  <c r="AZ22" i="12"/>
  <c r="BA22" i="12"/>
  <c r="AY22" i="12"/>
  <c r="K13" i="10"/>
  <c r="I13" i="10"/>
  <c r="G13" i="10"/>
  <c r="B7" i="10"/>
  <c r="BB20" i="67" l="1"/>
  <c r="BB27" i="67"/>
  <c r="BB36" i="67" s="1"/>
  <c r="AZ7" i="64"/>
  <c r="BE11" i="67"/>
  <c r="BF31" i="67"/>
  <c r="BF33" i="67" s="1"/>
  <c r="BF34" i="67" s="1"/>
  <c r="BF35" i="67" s="1"/>
  <c r="BG32" i="67"/>
  <c r="BG30" i="67"/>
  <c r="BG29" i="67"/>
  <c r="BF9" i="67"/>
  <c r="BG8" i="67"/>
  <c r="BG7" i="67"/>
  <c r="BG6" i="67"/>
  <c r="BH4" i="67"/>
  <c r="BX68" i="60"/>
  <c r="BQ6" i="64"/>
  <c r="BA5" i="64"/>
  <c r="DW11" i="60"/>
  <c r="DW12" i="60"/>
  <c r="DW13" i="60"/>
  <c r="DW14" i="60"/>
  <c r="DW15" i="60"/>
  <c r="DW7" i="60"/>
  <c r="DW8" i="60"/>
  <c r="DW9" i="60"/>
  <c r="DW10" i="60"/>
  <c r="DW6" i="60"/>
  <c r="BZ15" i="60"/>
  <c r="BZ10" i="60"/>
  <c r="BZ8" i="60"/>
  <c r="BZ9" i="60"/>
  <c r="BZ7" i="60"/>
  <c r="BZ6" i="60"/>
  <c r="BZ11" i="60"/>
  <c r="BZ14" i="60"/>
  <c r="BZ12" i="60"/>
  <c r="BZ13" i="60"/>
  <c r="CA5" i="60"/>
  <c r="BY16" i="60"/>
  <c r="DV16" i="60"/>
  <c r="BC18" i="67" s="1"/>
  <c r="DX5" i="60"/>
  <c r="E14" i="44"/>
  <c r="F14" i="44" s="1"/>
  <c r="E15" i="44"/>
  <c r="F15" i="44" s="1"/>
  <c r="AA24" i="14"/>
  <c r="AA26" i="14" s="1"/>
  <c r="Y24" i="14"/>
  <c r="Y26" i="14" s="1"/>
  <c r="Z24" i="14"/>
  <c r="Z26" i="14" s="1"/>
  <c r="AB24" i="14"/>
  <c r="AB26" i="14" s="1"/>
  <c r="BC27" i="67" l="1"/>
  <c r="BC36" i="67" s="1"/>
  <c r="BC20" i="67"/>
  <c r="BA7" i="64"/>
  <c r="BF11" i="67"/>
  <c r="BG31" i="67"/>
  <c r="BG33" i="67" s="1"/>
  <c r="BG34" i="67" s="1"/>
  <c r="BG35" i="67" s="1"/>
  <c r="BH30" i="67"/>
  <c r="BH32" i="67"/>
  <c r="BH29" i="67"/>
  <c r="BQ8" i="64"/>
  <c r="C8" i="64" s="1"/>
  <c r="C6" i="64"/>
  <c r="BG9" i="67"/>
  <c r="BH8" i="67"/>
  <c r="BH7" i="67"/>
  <c r="BH6" i="67"/>
  <c r="BI4" i="67"/>
  <c r="BY68" i="60"/>
  <c r="BB5" i="64"/>
  <c r="BZ16" i="60"/>
  <c r="DX12" i="60"/>
  <c r="DX13" i="60"/>
  <c r="DX14" i="60"/>
  <c r="DX15" i="60"/>
  <c r="DX11" i="60"/>
  <c r="DX8" i="60"/>
  <c r="DX9" i="60"/>
  <c r="DX10" i="60"/>
  <c r="DX6" i="60"/>
  <c r="DX7" i="60"/>
  <c r="CA9" i="60"/>
  <c r="CA15" i="60"/>
  <c r="CA11" i="60"/>
  <c r="CA8" i="60"/>
  <c r="J8" i="60" s="1"/>
  <c r="CA10" i="60"/>
  <c r="CA6" i="60"/>
  <c r="J6" i="60" s="1"/>
  <c r="CA13" i="60"/>
  <c r="CA7" i="60"/>
  <c r="CA14" i="60"/>
  <c r="J14" i="60" s="1"/>
  <c r="CA12" i="60"/>
  <c r="DY5" i="60"/>
  <c r="DW16" i="60"/>
  <c r="BD18" i="67" s="1"/>
  <c r="N12" i="45"/>
  <c r="P12" i="45" s="1"/>
  <c r="N10" i="45"/>
  <c r="P10" i="45" s="1"/>
  <c r="N14" i="45"/>
  <c r="P14" i="45" s="1"/>
  <c r="N7" i="45"/>
  <c r="P7" i="45" s="1"/>
  <c r="N13" i="45"/>
  <c r="P13" i="45" s="1"/>
  <c r="N8" i="45"/>
  <c r="P8" i="45" s="1"/>
  <c r="N11" i="45"/>
  <c r="P11" i="45" s="1"/>
  <c r="N9" i="45"/>
  <c r="P9" i="45" s="1"/>
  <c r="F23" i="15"/>
  <c r="J16" i="60" l="1"/>
  <c r="J17" i="60" s="1"/>
  <c r="BD20" i="67"/>
  <c r="BD27" i="67"/>
  <c r="BD36" i="67" s="1"/>
  <c r="C14" i="64"/>
  <c r="G8" i="69" s="1"/>
  <c r="G7" i="69"/>
  <c r="BB7" i="64"/>
  <c r="BG11" i="67"/>
  <c r="BH31" i="67"/>
  <c r="BH33" i="67" s="1"/>
  <c r="BH34" i="67" s="1"/>
  <c r="BH35" i="67" s="1"/>
  <c r="BI30" i="67"/>
  <c r="BI32" i="67"/>
  <c r="BI29" i="67"/>
  <c r="C15" i="64"/>
  <c r="G10" i="69" s="1"/>
  <c r="BH9" i="67"/>
  <c r="BI6" i="67"/>
  <c r="BI8" i="67"/>
  <c r="BI7" i="67"/>
  <c r="BJ4" i="67"/>
  <c r="BZ68" i="60"/>
  <c r="BC5" i="64"/>
  <c r="CA16" i="60"/>
  <c r="DY13" i="60"/>
  <c r="DY14" i="60"/>
  <c r="DY15" i="60"/>
  <c r="DY11" i="60"/>
  <c r="DY7" i="60"/>
  <c r="DY12" i="60"/>
  <c r="DY9" i="60"/>
  <c r="DY10" i="60"/>
  <c r="DY6" i="60"/>
  <c r="DY8" i="60"/>
  <c r="DX16" i="60"/>
  <c r="BE18" i="67" s="1"/>
  <c r="DZ5" i="60"/>
  <c r="P15" i="45"/>
  <c r="F11" i="12"/>
  <c r="AX24" i="12"/>
  <c r="D11" i="12"/>
  <c r="C11" i="12"/>
  <c r="AX21" i="12"/>
  <c r="B11" i="12"/>
  <c r="R21" i="12"/>
  <c r="R22" i="12"/>
  <c r="AO21" i="12"/>
  <c r="AO22" i="12"/>
  <c r="AA21" i="12"/>
  <c r="AA22" i="12"/>
  <c r="AX22" i="12"/>
  <c r="G9" i="69" l="1"/>
  <c r="B7" i="70" s="1"/>
  <c r="D18" i="69"/>
  <c r="BE27" i="67"/>
  <c r="BE36" i="67" s="1"/>
  <c r="BE20" i="67"/>
  <c r="BC7" i="64"/>
  <c r="BH11" i="67"/>
  <c r="BI31" i="67"/>
  <c r="BI33" i="67" s="1"/>
  <c r="BI34" i="67" s="1"/>
  <c r="BI35" i="67" s="1"/>
  <c r="BJ30" i="67"/>
  <c r="BJ32" i="67"/>
  <c r="BJ29" i="67"/>
  <c r="BJ8" i="67"/>
  <c r="BJ6" i="67"/>
  <c r="BJ7" i="67"/>
  <c r="BK4" i="67"/>
  <c r="BI9" i="67"/>
  <c r="CA68" i="60"/>
  <c r="BD5" i="64"/>
  <c r="DZ14" i="60"/>
  <c r="DZ15" i="60"/>
  <c r="DZ12" i="60"/>
  <c r="DZ8" i="60"/>
  <c r="DZ9" i="60"/>
  <c r="DZ10" i="60"/>
  <c r="DZ13" i="60"/>
  <c r="DZ6" i="60"/>
  <c r="DZ11" i="60"/>
  <c r="DZ7" i="60"/>
  <c r="EA5" i="60"/>
  <c r="DY16" i="60"/>
  <c r="BF18" i="67" s="1"/>
  <c r="E11" i="12"/>
  <c r="BF20" i="67" l="1"/>
  <c r="BF27" i="67"/>
  <c r="BF36" i="67" s="1"/>
  <c r="BD7" i="64"/>
  <c r="BI11" i="67"/>
  <c r="BJ31" i="67"/>
  <c r="BJ33" i="67" s="1"/>
  <c r="BJ34" i="67" s="1"/>
  <c r="BJ35" i="67" s="1"/>
  <c r="BK30" i="67"/>
  <c r="BK32" i="67"/>
  <c r="BK29" i="67"/>
  <c r="BJ9" i="67"/>
  <c r="BK8" i="67"/>
  <c r="BK7" i="67"/>
  <c r="BK6" i="67"/>
  <c r="BL4" i="67"/>
  <c r="BE5" i="64"/>
  <c r="EA15" i="60"/>
  <c r="EA11" i="60"/>
  <c r="EA9" i="60"/>
  <c r="EA14" i="60"/>
  <c r="EA10" i="60"/>
  <c r="EA13" i="60"/>
  <c r="EA6" i="60"/>
  <c r="EA7" i="60"/>
  <c r="EA12" i="60"/>
  <c r="EA8" i="60"/>
  <c r="DZ16" i="60"/>
  <c r="BG18" i="67" s="1"/>
  <c r="EB5" i="60"/>
  <c r="W39" i="10"/>
  <c r="G39" i="10"/>
  <c r="J39" i="10" s="1"/>
  <c r="K39" i="10" s="1"/>
  <c r="P7" i="10" s="1"/>
  <c r="W38" i="10"/>
  <c r="I38" i="10"/>
  <c r="G38" i="10"/>
  <c r="J38" i="10" s="1"/>
  <c r="K38" i="10" s="1"/>
  <c r="W37" i="10"/>
  <c r="J37" i="10"/>
  <c r="K37" i="10" s="1"/>
  <c r="I37" i="10"/>
  <c r="G37" i="10"/>
  <c r="W36" i="10"/>
  <c r="J36" i="10"/>
  <c r="K36" i="10" s="1"/>
  <c r="I36" i="10"/>
  <c r="G36" i="10"/>
  <c r="W35" i="10"/>
  <c r="G35" i="10"/>
  <c r="J35" i="10" s="1"/>
  <c r="K35" i="10" s="1"/>
  <c r="W34" i="10"/>
  <c r="G34" i="10"/>
  <c r="J34" i="10" s="1"/>
  <c r="K34" i="10" s="1"/>
  <c r="W33" i="10"/>
  <c r="J33" i="10"/>
  <c r="K33" i="10" s="1"/>
  <c r="I33" i="10"/>
  <c r="G33" i="10"/>
  <c r="W32" i="10"/>
  <c r="J32" i="10"/>
  <c r="K32" i="10" s="1"/>
  <c r="G32" i="10"/>
  <c r="I32" i="10" s="1"/>
  <c r="W31" i="10"/>
  <c r="G31" i="10"/>
  <c r="J31" i="10" s="1"/>
  <c r="K31" i="10" s="1"/>
  <c r="P3" i="10" s="1"/>
  <c r="W30" i="10"/>
  <c r="G30" i="10"/>
  <c r="I30" i="10" s="1"/>
  <c r="W29" i="10"/>
  <c r="J29" i="10"/>
  <c r="K29" i="10" s="1"/>
  <c r="I29" i="10"/>
  <c r="G29" i="10"/>
  <c r="W28" i="10"/>
  <c r="J28" i="10"/>
  <c r="K28" i="10" s="1"/>
  <c r="G28" i="10"/>
  <c r="I28" i="10" s="1"/>
  <c r="W27" i="10"/>
  <c r="G27" i="10"/>
  <c r="J27" i="10" s="1"/>
  <c r="K27" i="10" s="1"/>
  <c r="U6" i="10" s="1"/>
  <c r="W26" i="10"/>
  <c r="G26" i="10"/>
  <c r="J26" i="10" s="1"/>
  <c r="K26" i="10" s="1"/>
  <c r="W25" i="10"/>
  <c r="J25" i="10"/>
  <c r="K25" i="10" s="1"/>
  <c r="O6" i="10" s="1"/>
  <c r="I25" i="10"/>
  <c r="G25" i="10"/>
  <c r="W24" i="10"/>
  <c r="J24" i="10"/>
  <c r="K24" i="10" s="1"/>
  <c r="I24" i="10"/>
  <c r="G24" i="10"/>
  <c r="W23" i="10"/>
  <c r="G23" i="10"/>
  <c r="J23" i="10" s="1"/>
  <c r="K23" i="10" s="1"/>
  <c r="V6" i="10" s="1"/>
  <c r="W22" i="10"/>
  <c r="G22" i="10"/>
  <c r="I22" i="10" s="1"/>
  <c r="W21" i="10"/>
  <c r="J21" i="10"/>
  <c r="K21" i="10" s="1"/>
  <c r="S6" i="10" s="1"/>
  <c r="I21" i="10"/>
  <c r="G21" i="10"/>
  <c r="W20" i="10"/>
  <c r="J20" i="10"/>
  <c r="K20" i="10" s="1"/>
  <c r="N6" i="10" s="1"/>
  <c r="G20" i="10"/>
  <c r="I20" i="10" s="1"/>
  <c r="W19" i="10"/>
  <c r="G19" i="10"/>
  <c r="J19" i="10" s="1"/>
  <c r="K19" i="10" s="1"/>
  <c r="W18" i="10"/>
  <c r="G18" i="10"/>
  <c r="J18" i="10" s="1"/>
  <c r="K18" i="10" s="1"/>
  <c r="W17" i="10"/>
  <c r="J17" i="10"/>
  <c r="K17" i="10" s="1"/>
  <c r="I17" i="10"/>
  <c r="G17" i="10"/>
  <c r="W16" i="10"/>
  <c r="J16" i="10"/>
  <c r="K16" i="10" s="1"/>
  <c r="I16" i="10"/>
  <c r="G16" i="10"/>
  <c r="W15" i="10"/>
  <c r="G15" i="10"/>
  <c r="J15" i="10" s="1"/>
  <c r="K15" i="10" s="1"/>
  <c r="Q6" i="10" s="1"/>
  <c r="W14" i="10"/>
  <c r="G14" i="10"/>
  <c r="I14" i="10" s="1"/>
  <c r="W13" i="10"/>
  <c r="J13" i="10"/>
  <c r="U8" i="10"/>
  <c r="T8" i="10"/>
  <c r="S8" i="10"/>
  <c r="R8" i="10"/>
  <c r="V7" i="10"/>
  <c r="U7" i="10"/>
  <c r="T7" i="10"/>
  <c r="Q7" i="10"/>
  <c r="O7" i="10"/>
  <c r="N7" i="10"/>
  <c r="M7" i="10"/>
  <c r="M6" i="10"/>
  <c r="V5" i="10"/>
  <c r="U5" i="10"/>
  <c r="T5" i="10"/>
  <c r="S5" i="10"/>
  <c r="Q5" i="10"/>
  <c r="P5" i="10"/>
  <c r="O5" i="10"/>
  <c r="N5" i="10"/>
  <c r="M5" i="10"/>
  <c r="V4" i="10"/>
  <c r="U4" i="10"/>
  <c r="T4" i="10"/>
  <c r="S4" i="10"/>
  <c r="Q4" i="10"/>
  <c r="O4" i="10"/>
  <c r="N4" i="10"/>
  <c r="M4" i="10"/>
  <c r="V3" i="10"/>
  <c r="U3" i="10"/>
  <c r="T3" i="10"/>
  <c r="Q3" i="10"/>
  <c r="O3" i="10"/>
  <c r="N3" i="10"/>
  <c r="BG20" i="67" l="1"/>
  <c r="BG27" i="67"/>
  <c r="BG36" i="67" s="1"/>
  <c r="BE7" i="64"/>
  <c r="BJ11" i="67"/>
  <c r="BK31" i="67"/>
  <c r="BK33" i="67" s="1"/>
  <c r="BK34" i="67" s="1"/>
  <c r="BK35" i="67" s="1"/>
  <c r="BK9" i="67"/>
  <c r="BL30" i="67"/>
  <c r="BL32" i="67"/>
  <c r="BL29" i="67"/>
  <c r="BL7" i="67"/>
  <c r="BL6" i="67"/>
  <c r="BL8" i="67"/>
  <c r="BM4" i="67"/>
  <c r="BF5" i="64"/>
  <c r="EB11" i="60"/>
  <c r="EB12" i="60"/>
  <c r="EB14" i="60"/>
  <c r="EB10" i="60"/>
  <c r="EB13" i="60"/>
  <c r="EB8" i="60"/>
  <c r="EB6" i="60"/>
  <c r="EB15" i="60"/>
  <c r="EB7" i="60"/>
  <c r="EB9" i="60"/>
  <c r="EA16" i="60"/>
  <c r="BH18" i="67" s="1"/>
  <c r="EC5" i="60"/>
  <c r="P6" i="10"/>
  <c r="M3" i="10"/>
  <c r="H2" i="10"/>
  <c r="T6" i="10"/>
  <c r="H4" i="10"/>
  <c r="J14" i="10"/>
  <c r="K14" i="10" s="1"/>
  <c r="S3" i="10" s="1"/>
  <c r="I19" i="10"/>
  <c r="J22" i="10"/>
  <c r="K22" i="10" s="1"/>
  <c r="I27" i="10"/>
  <c r="J30" i="10"/>
  <c r="K30" i="10" s="1"/>
  <c r="P4" i="10" s="1"/>
  <c r="I35" i="10"/>
  <c r="I18" i="10"/>
  <c r="I26" i="10"/>
  <c r="I34" i="10"/>
  <c r="I15" i="10"/>
  <c r="D7" i="10" s="1"/>
  <c r="I23" i="10"/>
  <c r="I31" i="10"/>
  <c r="I39" i="10"/>
  <c r="BH27" i="67" l="1"/>
  <c r="BH36" i="67" s="1"/>
  <c r="BH20" i="67"/>
  <c r="BF7" i="64"/>
  <c r="BK11" i="67"/>
  <c r="BL31" i="67"/>
  <c r="BL33" i="67" s="1"/>
  <c r="BL34" i="67" s="1"/>
  <c r="BL35" i="67" s="1"/>
  <c r="BM32" i="67"/>
  <c r="BM30" i="67"/>
  <c r="BM29" i="67"/>
  <c r="BL9" i="67"/>
  <c r="BM6" i="67"/>
  <c r="BM8" i="67"/>
  <c r="BM7" i="67"/>
  <c r="BN4" i="67"/>
  <c r="BG5" i="64"/>
  <c r="EC12" i="60"/>
  <c r="EC13" i="60"/>
  <c r="EC15" i="60"/>
  <c r="EC11" i="60"/>
  <c r="EC9" i="60"/>
  <c r="EC10" i="60"/>
  <c r="EC7" i="60"/>
  <c r="EC6" i="60"/>
  <c r="EC14" i="60"/>
  <c r="EC8" i="60"/>
  <c r="EB16" i="60"/>
  <c r="BI18" i="67" s="1"/>
  <c r="ED5" i="60"/>
  <c r="AB17" i="14"/>
  <c r="Z17" i="14"/>
  <c r="AA17" i="14"/>
  <c r="Y17" i="14"/>
  <c r="I4" i="10"/>
  <c r="F7" i="10"/>
  <c r="I2" i="10"/>
  <c r="I3" i="10"/>
  <c r="S7" i="10"/>
  <c r="H3" i="10"/>
  <c r="BI20" i="67" l="1"/>
  <c r="BI27" i="67"/>
  <c r="BI36" i="67" s="1"/>
  <c r="BG7" i="64"/>
  <c r="BL11" i="67"/>
  <c r="BN30" i="67"/>
  <c r="BN32" i="67"/>
  <c r="BN29" i="67"/>
  <c r="BM31" i="67"/>
  <c r="BM33" i="67" s="1"/>
  <c r="BM34" i="67" s="1"/>
  <c r="BM35" i="67" s="1"/>
  <c r="BN8" i="67"/>
  <c r="BN6" i="67"/>
  <c r="BN7" i="67"/>
  <c r="BO4" i="67"/>
  <c r="BM9" i="67"/>
  <c r="BH5" i="64"/>
  <c r="ED11" i="60"/>
  <c r="ED13" i="60"/>
  <c r="ED14" i="60"/>
  <c r="ED8" i="60"/>
  <c r="ED12" i="60"/>
  <c r="ED10" i="60"/>
  <c r="ED7" i="60"/>
  <c r="ED15" i="60"/>
  <c r="ED9" i="60"/>
  <c r="ED6" i="60"/>
  <c r="EC16" i="60"/>
  <c r="BJ18" i="67" s="1"/>
  <c r="EE5" i="60"/>
  <c r="I5" i="12"/>
  <c r="BJ20" i="67" l="1"/>
  <c r="BJ27" i="67"/>
  <c r="BJ36" i="67" s="1"/>
  <c r="BN31" i="67"/>
  <c r="BN33" i="67" s="1"/>
  <c r="BN34" i="67" s="1"/>
  <c r="BN35" i="67" s="1"/>
  <c r="BH7" i="64"/>
  <c r="BM11" i="67"/>
  <c r="BO30" i="67"/>
  <c r="BO32" i="67"/>
  <c r="BO29" i="67"/>
  <c r="BO8" i="67"/>
  <c r="BO7" i="67"/>
  <c r="BO6" i="67"/>
  <c r="BP4" i="67"/>
  <c r="BN9" i="67"/>
  <c r="BI5" i="64"/>
  <c r="EE11" i="60"/>
  <c r="EE12" i="60"/>
  <c r="EE13" i="60"/>
  <c r="EE14" i="60"/>
  <c r="EE15" i="60"/>
  <c r="EE7" i="60"/>
  <c r="EE8" i="60"/>
  <c r="EE9" i="60"/>
  <c r="EE10" i="60"/>
  <c r="EE6" i="60"/>
  <c r="EF5" i="60"/>
  <c r="ED16" i="60"/>
  <c r="BK18" i="67" s="1"/>
  <c r="I6" i="12"/>
  <c r="G16" i="12" s="1"/>
  <c r="S17" i="12"/>
  <c r="S19" i="12" s="1"/>
  <c r="AR17" i="12"/>
  <c r="AS17" i="12"/>
  <c r="W17" i="12"/>
  <c r="Z17" i="12"/>
  <c r="AQ17" i="12"/>
  <c r="AW17" i="12"/>
  <c r="Y17" i="12"/>
  <c r="AP17" i="12"/>
  <c r="U17" i="12"/>
  <c r="AU17" i="12"/>
  <c r="V17" i="12"/>
  <c r="AV17" i="12"/>
  <c r="AT17" i="12"/>
  <c r="X17" i="12"/>
  <c r="T17" i="12"/>
  <c r="BK27" i="67" l="1"/>
  <c r="BK36" i="67" s="1"/>
  <c r="BK20" i="67"/>
  <c r="BI7" i="64"/>
  <c r="BN11" i="67"/>
  <c r="BO31" i="67"/>
  <c r="BO33" i="67" s="1"/>
  <c r="BO34" i="67" s="1"/>
  <c r="BO35" i="67" s="1"/>
  <c r="BP30" i="67"/>
  <c r="BP32" i="67"/>
  <c r="BP29" i="67"/>
  <c r="BO9" i="67"/>
  <c r="BP8" i="67"/>
  <c r="BP7" i="67"/>
  <c r="BP6" i="67"/>
  <c r="BQ4" i="67"/>
  <c r="BJ5" i="64"/>
  <c r="EF12" i="60"/>
  <c r="EF13" i="60"/>
  <c r="EF14" i="60"/>
  <c r="EF15" i="60"/>
  <c r="EF8" i="60"/>
  <c r="EF9" i="60"/>
  <c r="EF10" i="60"/>
  <c r="EF7" i="60"/>
  <c r="EF11" i="60"/>
  <c r="EF6" i="60"/>
  <c r="EG5" i="60"/>
  <c r="EE16" i="60"/>
  <c r="BL18" i="67" s="1"/>
  <c r="AV24" i="12"/>
  <c r="AW19" i="12"/>
  <c r="AW22" i="12" s="1"/>
  <c r="AW16" i="12" s="1"/>
  <c r="AW23" i="12" s="1"/>
  <c r="AQ19" i="12"/>
  <c r="AQ22" i="12" s="1"/>
  <c r="AQ16" i="12" s="1"/>
  <c r="AQ23" i="12" s="1"/>
  <c r="AP24" i="12"/>
  <c r="Y24" i="12"/>
  <c r="Z19" i="12"/>
  <c r="Z22" i="12" s="1"/>
  <c r="Z16" i="12" s="1"/>
  <c r="Z23" i="12" s="1"/>
  <c r="X19" i="12"/>
  <c r="X22" i="12" s="1"/>
  <c r="X16" i="12" s="1"/>
  <c r="X23" i="12" s="1"/>
  <c r="W24" i="12"/>
  <c r="W19" i="12"/>
  <c r="W22" i="12" s="1"/>
  <c r="W16" i="12" s="1"/>
  <c r="W23" i="12" s="1"/>
  <c r="V24" i="12"/>
  <c r="AV19" i="12"/>
  <c r="AV22" i="12" s="1"/>
  <c r="AV16" i="12" s="1"/>
  <c r="AV23" i="12" s="1"/>
  <c r="AU24" i="12"/>
  <c r="AS19" i="12"/>
  <c r="AS22" i="12" s="1"/>
  <c r="AS16" i="12" s="1"/>
  <c r="AS23" i="12" s="1"/>
  <c r="AR24" i="12"/>
  <c r="AT19" i="12"/>
  <c r="AT22" i="12" s="1"/>
  <c r="AT16" i="12" s="1"/>
  <c r="AT23" i="12" s="1"/>
  <c r="AS24" i="12"/>
  <c r="U19" i="12"/>
  <c r="U22" i="12" s="1"/>
  <c r="U16" i="12" s="1"/>
  <c r="U23" i="12" s="1"/>
  <c r="T24" i="12"/>
  <c r="AR19" i="12"/>
  <c r="AR22" i="12" s="1"/>
  <c r="AR16" i="12" s="1"/>
  <c r="AR23" i="12" s="1"/>
  <c r="AQ24" i="12"/>
  <c r="V19" i="12"/>
  <c r="V22" i="12" s="1"/>
  <c r="V16" i="12" s="1"/>
  <c r="V23" i="12" s="1"/>
  <c r="U24" i="12"/>
  <c r="AO24" i="12"/>
  <c r="AP19" i="12"/>
  <c r="AP22" i="12" s="1"/>
  <c r="AP16" i="12" s="1"/>
  <c r="AP23" i="12" s="1"/>
  <c r="S22" i="12"/>
  <c r="S16" i="12" s="1"/>
  <c r="S23" i="12" s="1"/>
  <c r="R24" i="12"/>
  <c r="F17" i="12"/>
  <c r="O5" i="12" s="1"/>
  <c r="B17" i="12"/>
  <c r="AU19" i="12"/>
  <c r="AU22" i="12" s="1"/>
  <c r="AU16" i="12" s="1"/>
  <c r="AU23" i="12" s="1"/>
  <c r="AT24" i="12"/>
  <c r="T19" i="12"/>
  <c r="T22" i="12" s="1"/>
  <c r="T16" i="12" s="1"/>
  <c r="T23" i="12" s="1"/>
  <c r="S24" i="12"/>
  <c r="Y19" i="12"/>
  <c r="Y22" i="12" s="1"/>
  <c r="Y16" i="12" s="1"/>
  <c r="Y23" i="12" s="1"/>
  <c r="X24" i="12"/>
  <c r="G23" i="12"/>
  <c r="AB16" i="12"/>
  <c r="AB23" i="12" s="1"/>
  <c r="O16" i="12"/>
  <c r="O23" i="12" s="1"/>
  <c r="J16" i="12"/>
  <c r="J23" i="12" s="1"/>
  <c r="AY16" i="12"/>
  <c r="AY23" i="12" s="1"/>
  <c r="BD16" i="12"/>
  <c r="BD23" i="12" s="1"/>
  <c r="L16" i="12"/>
  <c r="L23" i="12" s="1"/>
  <c r="BC16" i="12"/>
  <c r="BC23" i="12" s="1"/>
  <c r="BE16" i="12"/>
  <c r="BE23" i="12" s="1"/>
  <c r="AE16" i="12"/>
  <c r="AE23" i="12" s="1"/>
  <c r="Q16" i="12"/>
  <c r="Q23" i="12" s="1"/>
  <c r="BF16" i="12"/>
  <c r="BF23" i="12" s="1"/>
  <c r="N16" i="12"/>
  <c r="N23" i="12" s="1"/>
  <c r="P16" i="12"/>
  <c r="P23" i="12" s="1"/>
  <c r="AM16" i="12"/>
  <c r="AM23" i="12" s="1"/>
  <c r="AG16" i="12"/>
  <c r="AG23" i="12" s="1"/>
  <c r="AF16" i="12"/>
  <c r="AF23" i="12" s="1"/>
  <c r="I16" i="12"/>
  <c r="I23" i="12" s="1"/>
  <c r="BA16" i="12"/>
  <c r="BA23" i="12" s="1"/>
  <c r="AN16" i="12"/>
  <c r="AN23" i="12" s="1"/>
  <c r="AD16" i="12"/>
  <c r="AD23" i="12" s="1"/>
  <c r="M16" i="12"/>
  <c r="M23" i="12" s="1"/>
  <c r="BB16" i="12"/>
  <c r="BB23" i="12" s="1"/>
  <c r="AK16" i="12"/>
  <c r="AK23" i="12" s="1"/>
  <c r="K16" i="12"/>
  <c r="K23" i="12" s="1"/>
  <c r="H16" i="12"/>
  <c r="H23" i="12" s="1"/>
  <c r="AH16" i="12"/>
  <c r="AH23" i="12" s="1"/>
  <c r="AI16" i="12"/>
  <c r="AI23" i="12" s="1"/>
  <c r="AC16" i="12"/>
  <c r="AC23" i="12" s="1"/>
  <c r="AZ16" i="12"/>
  <c r="AZ23" i="12" s="1"/>
  <c r="AO16" i="12"/>
  <c r="AO23" i="12" s="1"/>
  <c r="R16" i="12"/>
  <c r="R23" i="12" s="1"/>
  <c r="AA16" i="12"/>
  <c r="AA23" i="12" s="1"/>
  <c r="AX16" i="12"/>
  <c r="AX23" i="12" s="1"/>
  <c r="BP31" i="67" l="1"/>
  <c r="BP33" i="67" s="1"/>
  <c r="BP34" i="67" s="1"/>
  <c r="BP35" i="67" s="1"/>
  <c r="BK7" i="64" s="1"/>
  <c r="BL20" i="67"/>
  <c r="BL27" i="67"/>
  <c r="BL36" i="67" s="1"/>
  <c r="BJ7" i="64"/>
  <c r="BO11" i="67"/>
  <c r="BP9" i="67"/>
  <c r="BQ30" i="67"/>
  <c r="BQ32" i="67"/>
  <c r="BQ29" i="67"/>
  <c r="BQ6" i="67"/>
  <c r="BQ8" i="67"/>
  <c r="BQ7" i="67"/>
  <c r="BR4" i="67"/>
  <c r="BK5" i="64"/>
  <c r="EG13" i="60"/>
  <c r="EG14" i="60"/>
  <c r="EG15" i="60"/>
  <c r="EG7" i="60"/>
  <c r="EG9" i="60"/>
  <c r="EG10" i="60"/>
  <c r="EG11" i="60"/>
  <c r="EG6" i="60"/>
  <c r="EG12" i="60"/>
  <c r="EG8" i="60"/>
  <c r="EF16" i="60"/>
  <c r="BM18" i="67" s="1"/>
  <c r="EH5" i="60"/>
  <c r="F24" i="12"/>
  <c r="O6" i="12" s="1"/>
  <c r="BM27" i="67" l="1"/>
  <c r="BM36" i="67" s="1"/>
  <c r="BM20" i="67"/>
  <c r="BP11" i="67"/>
  <c r="BQ31" i="67"/>
  <c r="BQ33" i="67" s="1"/>
  <c r="BQ34" i="67" s="1"/>
  <c r="BQ35" i="67" s="1"/>
  <c r="BR30" i="67"/>
  <c r="BR32" i="67"/>
  <c r="BR29" i="67"/>
  <c r="BR8" i="67"/>
  <c r="BR6" i="67"/>
  <c r="BR7" i="67"/>
  <c r="BS4" i="67"/>
  <c r="BQ9" i="67"/>
  <c r="BL5" i="64"/>
  <c r="EH14" i="60"/>
  <c r="EH15" i="60"/>
  <c r="EH10" i="60"/>
  <c r="EH13" i="60"/>
  <c r="EH8" i="60"/>
  <c r="EH9" i="60"/>
  <c r="EH11" i="60"/>
  <c r="EH12" i="60"/>
  <c r="EH6" i="60"/>
  <c r="EH7" i="60"/>
  <c r="EG16" i="60"/>
  <c r="BN18" i="67" s="1"/>
  <c r="EI5" i="60"/>
  <c r="Y16" i="14"/>
  <c r="Y19" i="14" s="1"/>
  <c r="Z16" i="14"/>
  <c r="Z19" i="14" s="1"/>
  <c r="AA16" i="14"/>
  <c r="AA19" i="14" s="1"/>
  <c r="AB16" i="14"/>
  <c r="AB19" i="14" s="1"/>
  <c r="BN20" i="67" l="1"/>
  <c r="BN27" i="67"/>
  <c r="BN36" i="67" s="1"/>
  <c r="BR31" i="67"/>
  <c r="BR33" i="67" s="1"/>
  <c r="BR34" i="67" s="1"/>
  <c r="BR35" i="67" s="1"/>
  <c r="BL7" i="64"/>
  <c r="BQ11" i="67"/>
  <c r="BS30" i="67"/>
  <c r="BS32" i="67"/>
  <c r="BS29" i="67"/>
  <c r="BR9" i="67"/>
  <c r="BS8" i="67"/>
  <c r="BS7" i="67"/>
  <c r="BS6" i="67"/>
  <c r="BT4" i="67"/>
  <c r="BM5" i="64"/>
  <c r="EI15" i="60"/>
  <c r="EI10" i="60"/>
  <c r="EI11" i="60"/>
  <c r="EI9" i="60"/>
  <c r="EI12" i="60"/>
  <c r="EI14" i="60"/>
  <c r="EI6" i="60"/>
  <c r="EI13" i="60"/>
  <c r="EI8" i="60"/>
  <c r="EI7" i="60"/>
  <c r="EH16" i="60"/>
  <c r="BO18" i="67" s="1"/>
  <c r="EJ5" i="60"/>
  <c r="F24" i="15"/>
  <c r="G11" i="15"/>
  <c r="P11" i="15"/>
  <c r="T16" i="31"/>
  <c r="AA16" i="31"/>
  <c r="Y16" i="31"/>
  <c r="W16" i="31"/>
  <c r="AB16" i="31"/>
  <c r="S16" i="31"/>
  <c r="U16" i="31"/>
  <c r="X16" i="31"/>
  <c r="Z16" i="31"/>
  <c r="V16" i="31"/>
  <c r="R16" i="31"/>
  <c r="N16" i="31"/>
  <c r="J16" i="31"/>
  <c r="Q16" i="31"/>
  <c r="O16" i="31"/>
  <c r="M16" i="31"/>
  <c r="L16" i="31"/>
  <c r="P16" i="31"/>
  <c r="K16" i="31"/>
  <c r="G16" i="31"/>
  <c r="H16" i="31" s="1"/>
  <c r="I16" i="31"/>
  <c r="I16" i="14"/>
  <c r="M16" i="14"/>
  <c r="R15" i="17"/>
  <c r="O15" i="17"/>
  <c r="S15" i="17"/>
  <c r="W16" i="14"/>
  <c r="X16" i="14"/>
  <c r="K15" i="17"/>
  <c r="U15" i="17"/>
  <c r="V15" i="17"/>
  <c r="N16" i="14"/>
  <c r="Q16" i="14"/>
  <c r="T16" i="14"/>
  <c r="J15" i="17"/>
  <c r="M15" i="17"/>
  <c r="R16" i="14"/>
  <c r="P15" i="17"/>
  <c r="T15" i="17"/>
  <c r="O16" i="14"/>
  <c r="P16" i="14"/>
  <c r="N15" i="17"/>
  <c r="L15" i="17"/>
  <c r="S16" i="14"/>
  <c r="U16" i="14"/>
  <c r="L16" i="14"/>
  <c r="Q15" i="17"/>
  <c r="I15" i="17"/>
  <c r="W15" i="17"/>
  <c r="V16" i="14"/>
  <c r="J16" i="14"/>
  <c r="K16" i="14"/>
  <c r="AL22" i="12"/>
  <c r="AL16" i="12" s="1"/>
  <c r="AL23" i="12" s="1"/>
  <c r="AJ22" i="12"/>
  <c r="AJ16" i="12" s="1"/>
  <c r="AJ23" i="12" s="1"/>
  <c r="B18" i="12"/>
  <c r="BO20" i="67" l="1"/>
  <c r="BO27" i="67"/>
  <c r="BO36" i="67" s="1"/>
  <c r="BS9" i="67"/>
  <c r="BM7" i="64"/>
  <c r="BR11" i="67"/>
  <c r="BS31" i="67"/>
  <c r="BS33" i="67" s="1"/>
  <c r="BS34" i="67" s="1"/>
  <c r="BS35" i="67" s="1"/>
  <c r="BT30" i="67"/>
  <c r="BT32" i="67"/>
  <c r="BT29" i="67"/>
  <c r="BT7" i="67"/>
  <c r="BT6" i="67"/>
  <c r="BT8" i="67"/>
  <c r="BU4" i="67"/>
  <c r="BN5" i="64"/>
  <c r="EJ11" i="60"/>
  <c r="EJ12" i="60"/>
  <c r="EJ10" i="60"/>
  <c r="EJ15" i="60"/>
  <c r="EJ13" i="60"/>
  <c r="EJ8" i="60"/>
  <c r="EJ6" i="60"/>
  <c r="EJ9" i="60"/>
  <c r="EJ14" i="60"/>
  <c r="EJ7" i="60"/>
  <c r="EK5" i="60"/>
  <c r="EI16" i="60"/>
  <c r="BP18" i="67" s="1"/>
  <c r="O4" i="12"/>
  <c r="BT31" i="67" l="1"/>
  <c r="BT33" i="67" s="1"/>
  <c r="BT34" i="67" s="1"/>
  <c r="BT35" i="67" s="1"/>
  <c r="BP20" i="67"/>
  <c r="BP27" i="67"/>
  <c r="BP36" i="67" s="1"/>
  <c r="BN7" i="64"/>
  <c r="BS11" i="67"/>
  <c r="BU30" i="67"/>
  <c r="BU32" i="67"/>
  <c r="BU29" i="67"/>
  <c r="BT9" i="67"/>
  <c r="BU6" i="67"/>
  <c r="BU8" i="67"/>
  <c r="BU7" i="67"/>
  <c r="BV4" i="67"/>
  <c r="BO5" i="64"/>
  <c r="EK10" i="60"/>
  <c r="EK12" i="60"/>
  <c r="EK13" i="60"/>
  <c r="EK11" i="60"/>
  <c r="EK15" i="60"/>
  <c r="EK14" i="60"/>
  <c r="EK9" i="60"/>
  <c r="EK8" i="60"/>
  <c r="EK6" i="60"/>
  <c r="EK7" i="60"/>
  <c r="EJ16" i="60"/>
  <c r="BQ18" i="67" s="1"/>
  <c r="EL5" i="60"/>
  <c r="Q4" i="12"/>
  <c r="AB9" i="14"/>
  <c r="AB11" i="14" s="1"/>
  <c r="AB22" i="14" s="1"/>
  <c r="Z9" i="14"/>
  <c r="Z11" i="14" s="1"/>
  <c r="Z22" i="14" s="1"/>
  <c r="Y9" i="14"/>
  <c r="Y11" i="14" s="1"/>
  <c r="Y22" i="14" s="1"/>
  <c r="AA9" i="14"/>
  <c r="AA11" i="14" s="1"/>
  <c r="AA22" i="14" s="1"/>
  <c r="F16" i="12"/>
  <c r="BQ27" i="67" l="1"/>
  <c r="BQ36" i="67" s="1"/>
  <c r="BQ20" i="67"/>
  <c r="BO7" i="64"/>
  <c r="BT11" i="67"/>
  <c r="BU31" i="67"/>
  <c r="BU33" i="67" s="1"/>
  <c r="BU34" i="67" s="1"/>
  <c r="BU35" i="67" s="1"/>
  <c r="BV30" i="67"/>
  <c r="BV32" i="67"/>
  <c r="BV29" i="67"/>
  <c r="BU9" i="67"/>
  <c r="BV8" i="67"/>
  <c r="I8" i="67" s="1"/>
  <c r="BV6" i="67"/>
  <c r="I6" i="67" s="1"/>
  <c r="BV7" i="67"/>
  <c r="I7" i="67" s="1"/>
  <c r="BP5" i="64"/>
  <c r="EL10" i="60"/>
  <c r="EL11" i="60"/>
  <c r="EL13" i="60"/>
  <c r="EL14" i="60"/>
  <c r="EL15" i="60"/>
  <c r="EL12" i="60"/>
  <c r="EL8" i="60"/>
  <c r="EL9" i="60"/>
  <c r="EL7" i="60"/>
  <c r="EL6" i="60"/>
  <c r="EK16" i="60"/>
  <c r="BR18" i="67" s="1"/>
  <c r="EM5" i="60"/>
  <c r="AB30" i="14"/>
  <c r="AB42" i="14"/>
  <c r="Y30" i="14"/>
  <c r="Y42" i="14"/>
  <c r="Z42" i="14"/>
  <c r="Z30" i="14"/>
  <c r="AA42" i="14"/>
  <c r="AA30" i="14"/>
  <c r="M11" i="15"/>
  <c r="K11" i="15"/>
  <c r="T11" i="15"/>
  <c r="R11" i="15"/>
  <c r="U11" i="15"/>
  <c r="L11" i="15"/>
  <c r="Z11" i="15"/>
  <c r="J11" i="15"/>
  <c r="S11" i="15"/>
  <c r="H11" i="15"/>
  <c r="Y11" i="15"/>
  <c r="X11" i="15"/>
  <c r="O11" i="15"/>
  <c r="Q11" i="15"/>
  <c r="W11" i="15"/>
  <c r="N11" i="15"/>
  <c r="I11" i="15"/>
  <c r="V11" i="15"/>
  <c r="BV31" i="67" l="1"/>
  <c r="BV33" i="67" s="1"/>
  <c r="BV34" i="67" s="1"/>
  <c r="BV35" i="67" s="1"/>
  <c r="BQ7" i="64" s="1"/>
  <c r="BR20" i="67"/>
  <c r="BR27" i="67"/>
  <c r="BR36" i="67" s="1"/>
  <c r="BP7" i="64"/>
  <c r="BU11" i="67"/>
  <c r="BV9" i="67"/>
  <c r="I9" i="67" s="1"/>
  <c r="BQ5" i="64"/>
  <c r="EM11" i="60"/>
  <c r="EM12" i="60"/>
  <c r="EM13" i="60"/>
  <c r="EM14" i="60"/>
  <c r="EM15" i="60"/>
  <c r="EM10" i="60"/>
  <c r="EM7" i="60"/>
  <c r="EM8" i="60"/>
  <c r="EM9" i="60"/>
  <c r="EM6" i="60"/>
  <c r="EL16" i="60"/>
  <c r="BS18" i="67" s="1"/>
  <c r="EN5" i="60"/>
  <c r="AA44" i="14"/>
  <c r="AA37" i="14"/>
  <c r="Y44" i="14"/>
  <c r="Y37" i="14"/>
  <c r="Z44" i="14"/>
  <c r="Z37" i="14"/>
  <c r="AB44" i="14"/>
  <c r="AB37" i="14"/>
  <c r="BS27" i="67" l="1"/>
  <c r="BS36" i="67" s="1"/>
  <c r="BS20" i="67"/>
  <c r="BV11" i="67"/>
  <c r="I11" i="67" s="1"/>
  <c r="I15" i="67" s="1"/>
  <c r="EN12" i="60"/>
  <c r="EN13" i="60"/>
  <c r="EN14" i="60"/>
  <c r="EN15" i="60"/>
  <c r="EN10" i="60"/>
  <c r="EN11" i="60"/>
  <c r="EN8" i="60"/>
  <c r="EN9" i="60"/>
  <c r="EN7" i="60"/>
  <c r="EN6" i="60"/>
  <c r="EM16" i="60"/>
  <c r="BT18" i="67" s="1"/>
  <c r="EO5" i="60"/>
  <c r="AB46" i="14"/>
  <c r="AB48" i="14"/>
  <c r="AA48" i="14"/>
  <c r="AA46" i="14"/>
  <c r="Z46" i="14"/>
  <c r="Z48" i="14"/>
  <c r="Y48" i="14"/>
  <c r="Y46" i="14"/>
  <c r="BT27" i="67" l="1"/>
  <c r="BT36" i="67" s="1"/>
  <c r="BT20" i="67"/>
  <c r="I16" i="67"/>
  <c r="E8" i="67" s="1"/>
  <c r="D8" i="67"/>
  <c r="EO13" i="60"/>
  <c r="EO14" i="60"/>
  <c r="EO15" i="60"/>
  <c r="EO11" i="60"/>
  <c r="EO7" i="60"/>
  <c r="EO12" i="60"/>
  <c r="EO9" i="60"/>
  <c r="EO8" i="60"/>
  <c r="EO6" i="60"/>
  <c r="EO10" i="60"/>
  <c r="EN16" i="60"/>
  <c r="BU18" i="67" s="1"/>
  <c r="EP5" i="60"/>
  <c r="M26" i="17"/>
  <c r="O26" i="17"/>
  <c r="T26" i="17"/>
  <c r="S26" i="17"/>
  <c r="L26" i="17"/>
  <c r="C27" i="14"/>
  <c r="X33" i="14" s="1"/>
  <c r="N26" i="17"/>
  <c r="Q26" i="17"/>
  <c r="V26" i="17"/>
  <c r="I26" i="17"/>
  <c r="K26" i="17"/>
  <c r="R26" i="17"/>
  <c r="F6" i="15"/>
  <c r="F14" i="15" s="1"/>
  <c r="F15" i="15" s="1"/>
  <c r="W26" i="17"/>
  <c r="P26" i="17"/>
  <c r="J26" i="17"/>
  <c r="U26" i="17"/>
  <c r="C31" i="31"/>
  <c r="G28" i="31" s="1"/>
  <c r="H28" i="31" s="1"/>
  <c r="G13" i="15"/>
  <c r="C34" i="15" s="1"/>
  <c r="W28" i="31"/>
  <c r="Y30" i="31"/>
  <c r="AB30" i="31"/>
  <c r="AA30" i="31"/>
  <c r="X30" i="31"/>
  <c r="Z30" i="31"/>
  <c r="W34" i="14"/>
  <c r="BU20" i="67" l="1"/>
  <c r="BU27" i="67"/>
  <c r="BU36" i="67" s="1"/>
  <c r="EP14" i="60"/>
  <c r="EP15" i="60"/>
  <c r="EP10" i="60"/>
  <c r="EP12" i="60"/>
  <c r="EP8" i="60"/>
  <c r="EP9" i="60"/>
  <c r="EP11" i="60"/>
  <c r="EP7" i="60"/>
  <c r="EP6" i="60"/>
  <c r="EP13" i="60"/>
  <c r="EO16" i="60"/>
  <c r="BV18" i="67" s="1"/>
  <c r="I18" i="67" s="1"/>
  <c r="EQ5" i="60"/>
  <c r="J33" i="14"/>
  <c r="J35" i="14" s="1"/>
  <c r="N33" i="14"/>
  <c r="N35" i="14" s="1"/>
  <c r="I33" i="14"/>
  <c r="I35" i="14" s="1"/>
  <c r="K33" i="14"/>
  <c r="K35" i="14" s="1"/>
  <c r="O33" i="14"/>
  <c r="O35" i="14" s="1"/>
  <c r="V33" i="14"/>
  <c r="V35" i="14" s="1"/>
  <c r="R33" i="14"/>
  <c r="R35" i="14" s="1"/>
  <c r="U33" i="14"/>
  <c r="U35" i="14" s="1"/>
  <c r="W33" i="14"/>
  <c r="W35" i="14" s="1"/>
  <c r="C29" i="14"/>
  <c r="X34" i="14" s="1"/>
  <c r="X35" i="14" s="1"/>
  <c r="P33" i="14"/>
  <c r="P35" i="14" s="1"/>
  <c r="M33" i="14"/>
  <c r="M35" i="14" s="1"/>
  <c r="S33" i="14"/>
  <c r="T33" i="14"/>
  <c r="T35" i="14" s="1"/>
  <c r="Q33" i="14"/>
  <c r="Q35" i="14" s="1"/>
  <c r="L33" i="14"/>
  <c r="L35" i="14" s="1"/>
  <c r="C33" i="31"/>
  <c r="Q29" i="31" s="1"/>
  <c r="P28" i="31"/>
  <c r="P30" i="31" s="1"/>
  <c r="O28" i="31"/>
  <c r="O30" i="31" s="1"/>
  <c r="V28" i="31"/>
  <c r="N28" i="31"/>
  <c r="N30" i="31" s="1"/>
  <c r="U28" i="31"/>
  <c r="U30" i="31" s="1"/>
  <c r="M28" i="31"/>
  <c r="M30" i="31" s="1"/>
  <c r="T28" i="31"/>
  <c r="T30" i="31" s="1"/>
  <c r="L28" i="31"/>
  <c r="L30" i="31" s="1"/>
  <c r="S28" i="31"/>
  <c r="S30" i="31" s="1"/>
  <c r="K28" i="31"/>
  <c r="K30" i="31" s="1"/>
  <c r="R28" i="31"/>
  <c r="J28" i="31"/>
  <c r="J30" i="31" s="1"/>
  <c r="Q28" i="31"/>
  <c r="I28" i="31"/>
  <c r="I30" i="31" s="1"/>
  <c r="F22" i="15"/>
  <c r="G29" i="31"/>
  <c r="W29" i="31"/>
  <c r="W30" i="31" s="1"/>
  <c r="R29" i="31"/>
  <c r="S34" i="14"/>
  <c r="BV20" i="67" l="1"/>
  <c r="I20" i="67" s="1"/>
  <c r="BV27" i="67"/>
  <c r="EQ15" i="60"/>
  <c r="EQ10" i="60"/>
  <c r="EQ11" i="60"/>
  <c r="EQ9" i="60"/>
  <c r="EQ14" i="60"/>
  <c r="EQ13" i="60"/>
  <c r="EQ8" i="60"/>
  <c r="EQ7" i="60"/>
  <c r="EQ6" i="60"/>
  <c r="EQ12" i="60"/>
  <c r="EP16" i="60"/>
  <c r="ER5" i="60"/>
  <c r="Q30" i="31"/>
  <c r="V29" i="31"/>
  <c r="V30" i="31" s="1"/>
  <c r="S35" i="14"/>
  <c r="R30" i="31"/>
  <c r="G30" i="31"/>
  <c r="H30" i="31" s="1"/>
  <c r="H29" i="31"/>
  <c r="D7" i="29"/>
  <c r="F7" i="29" s="1"/>
  <c r="F8" i="29" s="1"/>
  <c r="F23" i="29"/>
  <c r="B9" i="67" l="1"/>
  <c r="B10" i="67" s="1"/>
  <c r="I24" i="67"/>
  <c r="D9" i="67" s="1"/>
  <c r="I25" i="67"/>
  <c r="E9" i="67" s="1"/>
  <c r="BV36" i="67"/>
  <c r="I36" i="67" s="1"/>
  <c r="I27" i="67"/>
  <c r="ER11" i="60"/>
  <c r="ER12" i="60"/>
  <c r="ER15" i="60"/>
  <c r="ER14" i="60"/>
  <c r="ER13" i="60"/>
  <c r="ER10" i="60"/>
  <c r="ER8" i="60"/>
  <c r="ER6" i="60"/>
  <c r="ER9" i="60"/>
  <c r="ER7" i="60"/>
  <c r="EQ16" i="60"/>
  <c r="ES5" i="60"/>
  <c r="F24" i="29"/>
  <c r="F12" i="29" s="1"/>
  <c r="D8" i="29"/>
  <c r="C9" i="67" l="1"/>
  <c r="ES10" i="60"/>
  <c r="ES12" i="60"/>
  <c r="ES13" i="60"/>
  <c r="ES15" i="60"/>
  <c r="ES14" i="60"/>
  <c r="ES11" i="60"/>
  <c r="ES9" i="60"/>
  <c r="ES8" i="60"/>
  <c r="ES7" i="60"/>
  <c r="ES6" i="60"/>
  <c r="ET5" i="60"/>
  <c r="ER16" i="60"/>
  <c r="AA14" i="15"/>
  <c r="AA15" i="15" s="1"/>
  <c r="D7" i="69" l="1"/>
  <c r="C10" i="67"/>
  <c r="C7" i="67"/>
  <c r="C8" i="67"/>
  <c r="ET10" i="60"/>
  <c r="ET11" i="60"/>
  <c r="ET13" i="60"/>
  <c r="ET14" i="60"/>
  <c r="ET8" i="60"/>
  <c r="ET12" i="60"/>
  <c r="ET9" i="60"/>
  <c r="ET15" i="60"/>
  <c r="ET7" i="60"/>
  <c r="ET6" i="60"/>
  <c r="ES16" i="60"/>
  <c r="EU5" i="60"/>
  <c r="G12" i="15"/>
  <c r="P12" i="15"/>
  <c r="H12" i="15"/>
  <c r="X12" i="15"/>
  <c r="W12" i="15"/>
  <c r="I12" i="15"/>
  <c r="Q12" i="15"/>
  <c r="Y12" i="15"/>
  <c r="U12" i="15"/>
  <c r="J12" i="15"/>
  <c r="R12" i="15"/>
  <c r="Z12" i="15"/>
  <c r="K12" i="15"/>
  <c r="S12" i="15"/>
  <c r="L12" i="15"/>
  <c r="T12" i="15"/>
  <c r="M12" i="15"/>
  <c r="N12" i="15"/>
  <c r="V12" i="15"/>
  <c r="O12" i="15"/>
  <c r="U17" i="31"/>
  <c r="T17" i="31"/>
  <c r="P17" i="14"/>
  <c r="J16" i="17"/>
  <c r="U16" i="17"/>
  <c r="T16" i="17"/>
  <c r="L17" i="31"/>
  <c r="V17" i="14"/>
  <c r="O17" i="14"/>
  <c r="N17" i="14"/>
  <c r="M17" i="14"/>
  <c r="M16" i="17"/>
  <c r="Q17" i="14"/>
  <c r="I17" i="31"/>
  <c r="X17" i="14"/>
  <c r="Q16" i="17"/>
  <c r="S16" i="17"/>
  <c r="R17" i="14"/>
  <c r="V17" i="31"/>
  <c r="S17" i="14"/>
  <c r="I17" i="14"/>
  <c r="M17" i="31"/>
  <c r="S17" i="31"/>
  <c r="W16" i="17"/>
  <c r="P16" i="17"/>
  <c r="R16" i="17"/>
  <c r="V16" i="17"/>
  <c r="W17" i="31"/>
  <c r="K17" i="31"/>
  <c r="U17" i="14"/>
  <c r="J17" i="14"/>
  <c r="P17" i="31"/>
  <c r="J17" i="31"/>
  <c r="K17" i="14"/>
  <c r="T17" i="14"/>
  <c r="L17" i="14"/>
  <c r="W17" i="14"/>
  <c r="Q17" i="31"/>
  <c r="N16" i="17"/>
  <c r="I16" i="17"/>
  <c r="L16" i="17"/>
  <c r="O16" i="17"/>
  <c r="K16" i="17"/>
  <c r="N17" i="31"/>
  <c r="R17" i="31"/>
  <c r="Z17" i="31"/>
  <c r="Y17" i="31"/>
  <c r="AB17" i="31"/>
  <c r="AA17" i="31"/>
  <c r="X17" i="31"/>
  <c r="G17" i="31"/>
  <c r="H17" i="31" s="1"/>
  <c r="O17" i="31"/>
  <c r="E10" i="67" l="1"/>
  <c r="D10" i="69" s="1"/>
  <c r="F10" i="69" s="1"/>
  <c r="D10" i="67"/>
  <c r="D8" i="69" s="1"/>
  <c r="D9" i="69" s="1"/>
  <c r="EU11" i="60"/>
  <c r="EU12" i="60"/>
  <c r="EU13" i="60"/>
  <c r="EU14" i="60"/>
  <c r="EU15" i="60"/>
  <c r="EU7" i="60"/>
  <c r="EU8" i="60"/>
  <c r="EU9" i="60"/>
  <c r="EU6" i="60"/>
  <c r="EU10" i="60"/>
  <c r="ET16" i="60"/>
  <c r="EV5" i="60"/>
  <c r="F9" i="69" l="1"/>
  <c r="B6" i="70" s="1"/>
  <c r="H10" i="69"/>
  <c r="EV12" i="60"/>
  <c r="EV13" i="60"/>
  <c r="EV14" i="60"/>
  <c r="EV15" i="60"/>
  <c r="EV6" i="60"/>
  <c r="EV8" i="60"/>
  <c r="EV9" i="60"/>
  <c r="EV10" i="60"/>
  <c r="EV11" i="60"/>
  <c r="EV7" i="60"/>
  <c r="EU16" i="60"/>
  <c r="EW5" i="60"/>
  <c r="W23" i="31"/>
  <c r="X23" i="31"/>
  <c r="Y23" i="31"/>
  <c r="Z23" i="31"/>
  <c r="AA23" i="31"/>
  <c r="B8" i="70" l="1"/>
  <c r="EW13" i="60"/>
  <c r="EW14" i="60"/>
  <c r="EW15" i="60"/>
  <c r="EW7" i="60"/>
  <c r="EW9" i="60"/>
  <c r="EW10" i="60"/>
  <c r="EW11" i="60"/>
  <c r="EW12" i="60"/>
  <c r="EW6" i="60"/>
  <c r="EW8" i="60"/>
  <c r="EV16" i="60"/>
  <c r="EX5" i="60"/>
  <c r="C16" i="15"/>
  <c r="C16" i="31"/>
  <c r="Z10" i="15"/>
  <c r="X10" i="15"/>
  <c r="Y10" i="15"/>
  <c r="V10" i="15"/>
  <c r="W10" i="15"/>
  <c r="AB8" i="31"/>
  <c r="B22" i="70" l="1"/>
  <c r="B21" i="70"/>
  <c r="C21" i="70" s="1"/>
  <c r="EX14" i="60"/>
  <c r="EX15" i="60"/>
  <c r="EX10" i="60"/>
  <c r="EX8" i="60"/>
  <c r="EX9" i="60"/>
  <c r="EX13" i="60"/>
  <c r="EX11" i="60"/>
  <c r="EX12" i="60"/>
  <c r="EX7" i="60"/>
  <c r="EX6" i="60"/>
  <c r="EW16" i="60"/>
  <c r="EY5" i="60"/>
  <c r="G7" i="15"/>
  <c r="I13" i="31"/>
  <c r="Y15" i="31"/>
  <c r="Y9" i="31" s="1"/>
  <c r="AA15" i="31"/>
  <c r="AA9" i="31" s="1"/>
  <c r="X15" i="31"/>
  <c r="X9" i="31" s="1"/>
  <c r="Z15" i="31"/>
  <c r="Z9" i="31" s="1"/>
  <c r="I15" i="31"/>
  <c r="I9" i="31" s="1"/>
  <c r="Q15" i="31"/>
  <c r="Q9" i="31" s="1"/>
  <c r="J15" i="31"/>
  <c r="J9" i="31" s="1"/>
  <c r="R15" i="31"/>
  <c r="R9" i="31" s="1"/>
  <c r="K15" i="31"/>
  <c r="K9" i="31" s="1"/>
  <c r="S15" i="31"/>
  <c r="S9" i="31" s="1"/>
  <c r="L15" i="31"/>
  <c r="L9" i="31" s="1"/>
  <c r="T15" i="31"/>
  <c r="T9" i="31" s="1"/>
  <c r="M15" i="31"/>
  <c r="M9" i="31" s="1"/>
  <c r="U15" i="31"/>
  <c r="U9" i="31" s="1"/>
  <c r="N15" i="31"/>
  <c r="N9" i="31" s="1"/>
  <c r="V15" i="31"/>
  <c r="V9" i="31" s="1"/>
  <c r="O15" i="31"/>
  <c r="O9" i="31" s="1"/>
  <c r="W15" i="31"/>
  <c r="W9" i="31" s="1"/>
  <c r="P15" i="31"/>
  <c r="P9" i="31" s="1"/>
  <c r="G15" i="31"/>
  <c r="H15" i="31" s="1"/>
  <c r="X13" i="31"/>
  <c r="AB13" i="31"/>
  <c r="Y13" i="31"/>
  <c r="Z13" i="31"/>
  <c r="AA13" i="31"/>
  <c r="X7" i="15"/>
  <c r="Y7" i="15"/>
  <c r="W7" i="15"/>
  <c r="V7" i="15"/>
  <c r="Z7" i="15"/>
  <c r="G13" i="31"/>
  <c r="H13" i="31" s="1"/>
  <c r="I7" i="15"/>
  <c r="T14" i="14"/>
  <c r="J15" i="14"/>
  <c r="X14" i="14"/>
  <c r="Q13" i="31"/>
  <c r="N15" i="14"/>
  <c r="L14" i="17"/>
  <c r="L19" i="17" s="1"/>
  <c r="R14" i="14"/>
  <c r="K14" i="17"/>
  <c r="K19" i="17" s="1"/>
  <c r="W14" i="17"/>
  <c r="W19" i="17" s="1"/>
  <c r="P15" i="14"/>
  <c r="M15" i="14"/>
  <c r="M13" i="31"/>
  <c r="H7" i="15"/>
  <c r="U15" i="14"/>
  <c r="U7" i="15"/>
  <c r="O13" i="31"/>
  <c r="L7" i="15"/>
  <c r="O14" i="14"/>
  <c r="R14" i="17"/>
  <c r="R19" i="17" s="1"/>
  <c r="T14" i="17"/>
  <c r="T19" i="17" s="1"/>
  <c r="R15" i="14"/>
  <c r="R13" i="31"/>
  <c r="M14" i="14"/>
  <c r="U14" i="17"/>
  <c r="U19" i="17" s="1"/>
  <c r="T13" i="31"/>
  <c r="I14" i="17"/>
  <c r="I19" i="17" s="1"/>
  <c r="S13" i="31"/>
  <c r="L15" i="14"/>
  <c r="K7" i="15"/>
  <c r="J14" i="14"/>
  <c r="S15" i="14"/>
  <c r="S14" i="14"/>
  <c r="W13" i="31"/>
  <c r="V13" i="31"/>
  <c r="K14" i="14"/>
  <c r="V15" i="14"/>
  <c r="U13" i="31"/>
  <c r="K13" i="31"/>
  <c r="I14" i="14"/>
  <c r="N7" i="15"/>
  <c r="W15" i="14"/>
  <c r="I15" i="14"/>
  <c r="Q14" i="14"/>
  <c r="N14" i="14"/>
  <c r="Q15" i="14"/>
  <c r="M14" i="17"/>
  <c r="M19" i="17" s="1"/>
  <c r="J14" i="17"/>
  <c r="J19" i="17" s="1"/>
  <c r="T7" i="15"/>
  <c r="O15" i="14"/>
  <c r="P14" i="14"/>
  <c r="C38" i="14"/>
  <c r="O14" i="17"/>
  <c r="O19" i="17" s="1"/>
  <c r="P14" i="17"/>
  <c r="P19" i="17" s="1"/>
  <c r="N13" i="31"/>
  <c r="J13" i="31"/>
  <c r="Q7" i="15"/>
  <c r="L13" i="31"/>
  <c r="S7" i="15"/>
  <c r="U14" i="14"/>
  <c r="K15" i="14"/>
  <c r="W14" i="14"/>
  <c r="T15" i="14"/>
  <c r="L14" i="14"/>
  <c r="M7" i="15"/>
  <c r="V14" i="17"/>
  <c r="V19" i="17" s="1"/>
  <c r="S14" i="17"/>
  <c r="S19" i="17" s="1"/>
  <c r="R7" i="15"/>
  <c r="P7" i="15"/>
  <c r="J7" i="15"/>
  <c r="Q14" i="17"/>
  <c r="Q19" i="17" s="1"/>
  <c r="O7" i="15"/>
  <c r="X15" i="14"/>
  <c r="V14" i="14"/>
  <c r="N14" i="17"/>
  <c r="N19" i="17" s="1"/>
  <c r="P13" i="31"/>
  <c r="B38" i="70" l="1"/>
  <c r="B32" i="70"/>
  <c r="B24" i="70"/>
  <c r="C22" i="70"/>
  <c r="EY15" i="60"/>
  <c r="EY10" i="60"/>
  <c r="EY11" i="60"/>
  <c r="EY14" i="60"/>
  <c r="EY9" i="60"/>
  <c r="EY13" i="60"/>
  <c r="EY12" i="60"/>
  <c r="EY7" i="60"/>
  <c r="EY6" i="60"/>
  <c r="EY8" i="60"/>
  <c r="EZ5" i="60"/>
  <c r="EX16" i="60"/>
  <c r="C17" i="31"/>
  <c r="C18" i="31" s="1"/>
  <c r="C17" i="15"/>
  <c r="I8" i="31"/>
  <c r="I10" i="31" s="1"/>
  <c r="G8" i="15"/>
  <c r="Y8" i="15"/>
  <c r="Y14" i="15" s="1"/>
  <c r="Y15" i="15" s="1"/>
  <c r="I9" i="14"/>
  <c r="I11" i="14" s="1"/>
  <c r="V8" i="15"/>
  <c r="V14" i="15" s="1"/>
  <c r="V15" i="15" s="1"/>
  <c r="Z8" i="15"/>
  <c r="Z14" i="15" s="1"/>
  <c r="Z15" i="15" s="1"/>
  <c r="X8" i="15"/>
  <c r="X14" i="15" s="1"/>
  <c r="X15" i="15" s="1"/>
  <c r="Z8" i="31"/>
  <c r="M8" i="15"/>
  <c r="W8" i="31"/>
  <c r="W8" i="15"/>
  <c r="W14" i="15" s="1"/>
  <c r="W15" i="15" s="1"/>
  <c r="X8" i="31"/>
  <c r="AA8" i="31"/>
  <c r="Y8" i="31"/>
  <c r="W10" i="17"/>
  <c r="W11" i="17" s="1"/>
  <c r="W20" i="17" s="1"/>
  <c r="Q10" i="17"/>
  <c r="Q11" i="17" s="1"/>
  <c r="Q20" i="17" s="1"/>
  <c r="O10" i="17"/>
  <c r="O11" i="17" s="1"/>
  <c r="O20" i="17" s="1"/>
  <c r="O8" i="15"/>
  <c r="I8" i="15"/>
  <c r="V10" i="17"/>
  <c r="V11" i="17" s="1"/>
  <c r="V20" i="17" s="1"/>
  <c r="K8" i="15"/>
  <c r="K8" i="31"/>
  <c r="Q9" i="14"/>
  <c r="Q11" i="14" s="1"/>
  <c r="S8" i="15"/>
  <c r="T10" i="17"/>
  <c r="T11" i="17" s="1"/>
  <c r="T20" i="17" s="1"/>
  <c r="K9" i="14"/>
  <c r="K11" i="14" s="1"/>
  <c r="V8" i="31"/>
  <c r="I10" i="17"/>
  <c r="I11" i="17" s="1"/>
  <c r="I20" i="17" s="1"/>
  <c r="M10" i="17"/>
  <c r="M11" i="17" s="1"/>
  <c r="M20" i="17" s="1"/>
  <c r="L8" i="31"/>
  <c r="O9" i="14"/>
  <c r="O11" i="14" s="1"/>
  <c r="M8" i="31"/>
  <c r="N8" i="15"/>
  <c r="V9" i="14"/>
  <c r="V11" i="14" s="1"/>
  <c r="J8" i="31"/>
  <c r="J9" i="14"/>
  <c r="J11" i="14" s="1"/>
  <c r="X9" i="14"/>
  <c r="X11" i="14" s="1"/>
  <c r="T8" i="15"/>
  <c r="R10" i="17"/>
  <c r="R11" i="17" s="1"/>
  <c r="R20" i="17" s="1"/>
  <c r="L8" i="15"/>
  <c r="M9" i="14"/>
  <c r="M11" i="14" s="1"/>
  <c r="P9" i="14"/>
  <c r="P11" i="14" s="1"/>
  <c r="U10" i="17"/>
  <c r="U11" i="17" s="1"/>
  <c r="U20" i="17" s="1"/>
  <c r="G8" i="31"/>
  <c r="H8" i="31" s="1"/>
  <c r="P10" i="17"/>
  <c r="P11" i="17" s="1"/>
  <c r="P20" i="17" s="1"/>
  <c r="H8" i="15"/>
  <c r="S10" i="17"/>
  <c r="S11" i="17" s="1"/>
  <c r="S20" i="17" s="1"/>
  <c r="R9" i="14"/>
  <c r="R11" i="14" s="1"/>
  <c r="W9" i="14"/>
  <c r="W11" i="14" s="1"/>
  <c r="C15" i="14"/>
  <c r="N10" i="17"/>
  <c r="N11" i="17" s="1"/>
  <c r="N20" i="17" s="1"/>
  <c r="U8" i="15"/>
  <c r="J8" i="15"/>
  <c r="O8" i="31"/>
  <c r="L9" i="14"/>
  <c r="L11" i="14" s="1"/>
  <c r="R8" i="31"/>
  <c r="N8" i="31"/>
  <c r="Q8" i="15"/>
  <c r="P8" i="31"/>
  <c r="T9" i="14"/>
  <c r="T11" i="14" s="1"/>
  <c r="S8" i="31"/>
  <c r="L10" i="17"/>
  <c r="L11" i="17" s="1"/>
  <c r="L20" i="17" s="1"/>
  <c r="Q8" i="31"/>
  <c r="T8" i="31"/>
  <c r="U9" i="14"/>
  <c r="U11" i="14" s="1"/>
  <c r="S9" i="14"/>
  <c r="S11" i="14" s="1"/>
  <c r="U8" i="31"/>
  <c r="U10" i="31" s="1"/>
  <c r="J10" i="17"/>
  <c r="J11" i="17" s="1"/>
  <c r="J20" i="17" s="1"/>
  <c r="K10" i="17"/>
  <c r="K11" i="17" s="1"/>
  <c r="K20" i="17" s="1"/>
  <c r="R8" i="15"/>
  <c r="N9" i="14"/>
  <c r="N11" i="14" s="1"/>
  <c r="P8" i="15"/>
  <c r="G9" i="31"/>
  <c r="H9" i="31" s="1"/>
  <c r="G18" i="31"/>
  <c r="H18" i="31" s="1"/>
  <c r="P19" i="14"/>
  <c r="J19" i="14"/>
  <c r="S19" i="14"/>
  <c r="U19" i="14"/>
  <c r="V19" i="14"/>
  <c r="N19" i="14"/>
  <c r="O19" i="14"/>
  <c r="L19" i="14"/>
  <c r="W19" i="14"/>
  <c r="M19" i="14"/>
  <c r="R19" i="14"/>
  <c r="Q19" i="14"/>
  <c r="K19" i="14"/>
  <c r="X19" i="14"/>
  <c r="I19" i="14"/>
  <c r="T19" i="14"/>
  <c r="B33" i="70" l="1"/>
  <c r="B39" i="70"/>
  <c r="B23" i="70"/>
  <c r="H9" i="69"/>
  <c r="C24" i="70"/>
  <c r="EZ11" i="60"/>
  <c r="EZ12" i="60"/>
  <c r="EZ13" i="60"/>
  <c r="EZ10" i="60"/>
  <c r="EZ15" i="60"/>
  <c r="EZ8" i="60"/>
  <c r="EZ7" i="60"/>
  <c r="EZ6" i="60"/>
  <c r="EZ14" i="60"/>
  <c r="EZ9" i="60"/>
  <c r="EY16" i="60"/>
  <c r="FA5" i="60"/>
  <c r="I22" i="14"/>
  <c r="K22" i="14"/>
  <c r="K42" i="14" s="1"/>
  <c r="C18" i="15"/>
  <c r="V22" i="14"/>
  <c r="S22" i="14"/>
  <c r="W22" i="14"/>
  <c r="W42" i="14" s="1"/>
  <c r="P22" i="14"/>
  <c r="U22" i="14"/>
  <c r="U42" i="14" s="1"/>
  <c r="T22" i="14"/>
  <c r="T42" i="14" s="1"/>
  <c r="X22" i="14"/>
  <c r="X42" i="14" s="1"/>
  <c r="O22" i="14"/>
  <c r="O42" i="14" s="1"/>
  <c r="J22" i="14"/>
  <c r="J42" i="14" s="1"/>
  <c r="Q22" i="14"/>
  <c r="L22" i="14"/>
  <c r="R22" i="14"/>
  <c r="N22" i="14"/>
  <c r="N42" i="14" s="1"/>
  <c r="M22" i="14"/>
  <c r="G10" i="31"/>
  <c r="H10" i="31" s="1"/>
  <c r="X10" i="31"/>
  <c r="X18" i="31"/>
  <c r="Y10" i="31"/>
  <c r="Y18" i="31"/>
  <c r="AA10" i="31"/>
  <c r="AA18" i="31"/>
  <c r="Z10" i="31"/>
  <c r="Z18" i="31"/>
  <c r="AB10" i="31"/>
  <c r="AB18" i="31"/>
  <c r="T10" i="31"/>
  <c r="T18" i="31"/>
  <c r="L10" i="31"/>
  <c r="L18" i="31"/>
  <c r="S10" i="31"/>
  <c r="S18" i="31"/>
  <c r="O10" i="31"/>
  <c r="O18" i="31"/>
  <c r="M10" i="31"/>
  <c r="M18" i="31"/>
  <c r="J10" i="31"/>
  <c r="J18" i="31"/>
  <c r="P10" i="31"/>
  <c r="P18" i="31"/>
  <c r="N10" i="31"/>
  <c r="N18" i="31"/>
  <c r="K10" i="31"/>
  <c r="K18" i="31"/>
  <c r="U18" i="31"/>
  <c r="U21" i="31" s="1"/>
  <c r="W10" i="31"/>
  <c r="W18" i="31"/>
  <c r="I18" i="31"/>
  <c r="Q10" i="31"/>
  <c r="Q18" i="31"/>
  <c r="R10" i="31"/>
  <c r="R18" i="31"/>
  <c r="V10" i="31"/>
  <c r="V18" i="31"/>
  <c r="C33" i="70" l="1"/>
  <c r="C39" i="70"/>
  <c r="C23" i="70"/>
  <c r="C32" i="70" s="1"/>
  <c r="FA10" i="60"/>
  <c r="FA12" i="60"/>
  <c r="FA13" i="60"/>
  <c r="FA11" i="60"/>
  <c r="FA14" i="60"/>
  <c r="FA9" i="60"/>
  <c r="FA15" i="60"/>
  <c r="FA7" i="60"/>
  <c r="FA6" i="60"/>
  <c r="FA8" i="60"/>
  <c r="EZ16" i="60"/>
  <c r="FB5" i="60"/>
  <c r="S10" i="15"/>
  <c r="S14" i="15" s="1"/>
  <c r="S15" i="15" s="1"/>
  <c r="L22" i="17"/>
  <c r="L24" i="17" s="1"/>
  <c r="L28" i="17" s="1"/>
  <c r="J24" i="14"/>
  <c r="J26" i="14" s="1"/>
  <c r="J30" i="14" s="1"/>
  <c r="J44" i="14" s="1"/>
  <c r="M24" i="14"/>
  <c r="M26" i="14" s="1"/>
  <c r="M30" i="14" s="1"/>
  <c r="M37" i="14" s="1"/>
  <c r="M46" i="14" s="1"/>
  <c r="N10" i="15"/>
  <c r="N14" i="15" s="1"/>
  <c r="N15" i="15" s="1"/>
  <c r="Q10" i="15"/>
  <c r="Q14" i="15" s="1"/>
  <c r="Q15" i="15" s="1"/>
  <c r="J10" i="15"/>
  <c r="J14" i="15" s="1"/>
  <c r="J15" i="15" s="1"/>
  <c r="S23" i="31"/>
  <c r="I24" i="14"/>
  <c r="I26" i="14" s="1"/>
  <c r="I30" i="14" s="1"/>
  <c r="I37" i="14" s="1"/>
  <c r="I23" i="31"/>
  <c r="M10" i="15"/>
  <c r="M14" i="15" s="1"/>
  <c r="M15" i="15" s="1"/>
  <c r="U24" i="14"/>
  <c r="U26" i="14" s="1"/>
  <c r="U30" i="14" s="1"/>
  <c r="U44" i="14" s="1"/>
  <c r="L23" i="31"/>
  <c r="R10" i="15"/>
  <c r="R14" i="15" s="1"/>
  <c r="R15" i="15" s="1"/>
  <c r="P24" i="14"/>
  <c r="P26" i="14" s="1"/>
  <c r="P30" i="14" s="1"/>
  <c r="P37" i="14" s="1"/>
  <c r="P48" i="14" s="1"/>
  <c r="P23" i="31"/>
  <c r="Q24" i="14"/>
  <c r="Q26" i="14" s="1"/>
  <c r="Q30" i="14" s="1"/>
  <c r="Q44" i="14" s="1"/>
  <c r="J23" i="31"/>
  <c r="W24" i="14"/>
  <c r="W26" i="14" s="1"/>
  <c r="W30" i="14" s="1"/>
  <c r="W37" i="14" s="1"/>
  <c r="W48" i="14" s="1"/>
  <c r="P22" i="17"/>
  <c r="P24" i="17" s="1"/>
  <c r="P28" i="17" s="1"/>
  <c r="I10" i="15"/>
  <c r="I14" i="15" s="1"/>
  <c r="I15" i="15" s="1"/>
  <c r="Q22" i="17"/>
  <c r="Q24" i="17" s="1"/>
  <c r="Q28" i="17" s="1"/>
  <c r="X24" i="14"/>
  <c r="X26" i="14" s="1"/>
  <c r="X30" i="14" s="1"/>
  <c r="X44" i="14" s="1"/>
  <c r="T23" i="31"/>
  <c r="R24" i="14"/>
  <c r="R26" i="14" s="1"/>
  <c r="R30" i="14" s="1"/>
  <c r="R37" i="14" s="1"/>
  <c r="R46" i="14" s="1"/>
  <c r="K24" i="14"/>
  <c r="K26" i="14" s="1"/>
  <c r="K30" i="14" s="1"/>
  <c r="K37" i="14" s="1"/>
  <c r="K48" i="14" s="1"/>
  <c r="K22" i="17"/>
  <c r="K24" i="17" s="1"/>
  <c r="K28" i="17" s="1"/>
  <c r="T22" i="17"/>
  <c r="T24" i="17" s="1"/>
  <c r="T28" i="17" s="1"/>
  <c r="U22" i="17"/>
  <c r="U24" i="17" s="1"/>
  <c r="U28" i="17" s="1"/>
  <c r="N23" i="31"/>
  <c r="N24" i="14"/>
  <c r="N26" i="14" s="1"/>
  <c r="N30" i="14" s="1"/>
  <c r="N37" i="14" s="1"/>
  <c r="N48" i="14" s="1"/>
  <c r="O24" i="14"/>
  <c r="O26" i="14" s="1"/>
  <c r="O30" i="14" s="1"/>
  <c r="O44" i="14" s="1"/>
  <c r="M23" i="31"/>
  <c r="K23" i="31"/>
  <c r="O23" i="31"/>
  <c r="W22" i="17"/>
  <c r="W24" i="17" s="1"/>
  <c r="W28" i="17" s="1"/>
  <c r="I22" i="17"/>
  <c r="I24" i="17" s="1"/>
  <c r="I28" i="17" s="1"/>
  <c r="Q23" i="31"/>
  <c r="S24" i="14"/>
  <c r="S26" i="14" s="1"/>
  <c r="S30" i="14" s="1"/>
  <c r="S44" i="14" s="1"/>
  <c r="G10" i="15"/>
  <c r="G14" i="15" s="1"/>
  <c r="G18" i="15" s="1"/>
  <c r="H10" i="15"/>
  <c r="H14" i="15" s="1"/>
  <c r="H15" i="15" s="1"/>
  <c r="V23" i="31"/>
  <c r="U23" i="31"/>
  <c r="U26" i="31" s="1"/>
  <c r="U32" i="31" s="1"/>
  <c r="T10" i="15"/>
  <c r="T14" i="15" s="1"/>
  <c r="T15" i="15" s="1"/>
  <c r="R23" i="31"/>
  <c r="S22" i="17"/>
  <c r="S24" i="17" s="1"/>
  <c r="S28" i="17" s="1"/>
  <c r="O10" i="15"/>
  <c r="O14" i="15" s="1"/>
  <c r="O15" i="15" s="1"/>
  <c r="M22" i="17"/>
  <c r="M24" i="17" s="1"/>
  <c r="M28" i="17" s="1"/>
  <c r="L24" i="14"/>
  <c r="L26" i="14" s="1"/>
  <c r="L30" i="14" s="1"/>
  <c r="L37" i="14" s="1"/>
  <c r="L46" i="14" s="1"/>
  <c r="N22" i="17"/>
  <c r="N24" i="17" s="1"/>
  <c r="N28" i="17" s="1"/>
  <c r="O22" i="17"/>
  <c r="O24" i="17" s="1"/>
  <c r="O28" i="17" s="1"/>
  <c r="R22" i="17"/>
  <c r="R24" i="17" s="1"/>
  <c r="R28" i="17" s="1"/>
  <c r="J22" i="17"/>
  <c r="J24" i="17" s="1"/>
  <c r="J28" i="17" s="1"/>
  <c r="V24" i="14"/>
  <c r="V26" i="14" s="1"/>
  <c r="V30" i="14" s="1"/>
  <c r="P10" i="15"/>
  <c r="P14" i="15" s="1"/>
  <c r="P15" i="15" s="1"/>
  <c r="G23" i="31"/>
  <c r="H23" i="31" s="1"/>
  <c r="V22" i="17"/>
  <c r="V24" i="17" s="1"/>
  <c r="V28" i="17" s="1"/>
  <c r="L10" i="15"/>
  <c r="L14" i="15" s="1"/>
  <c r="L15" i="15" s="1"/>
  <c r="K10" i="15"/>
  <c r="K14" i="15" s="1"/>
  <c r="K15" i="15" s="1"/>
  <c r="U10" i="15"/>
  <c r="U14" i="15" s="1"/>
  <c r="U15" i="15" s="1"/>
  <c r="T24" i="14"/>
  <c r="T26" i="14" s="1"/>
  <c r="T30" i="14" s="1"/>
  <c r="T44" i="14" s="1"/>
  <c r="I42" i="14"/>
  <c r="V42" i="14"/>
  <c r="S42" i="14"/>
  <c r="P42" i="14"/>
  <c r="Q42" i="14"/>
  <c r="L42" i="14"/>
  <c r="R42" i="14"/>
  <c r="M42" i="14"/>
  <c r="AB21" i="31"/>
  <c r="AB26" i="31" s="1"/>
  <c r="AB32" i="31" s="1"/>
  <c r="AA21" i="31"/>
  <c r="AA26" i="31" s="1"/>
  <c r="AA32" i="31" s="1"/>
  <c r="Z21" i="31"/>
  <c r="Z26" i="31" s="1"/>
  <c r="Z32" i="31" s="1"/>
  <c r="Y21" i="31"/>
  <c r="Y26" i="31" s="1"/>
  <c r="Y32" i="31" s="1"/>
  <c r="X21" i="31"/>
  <c r="X26" i="31" s="1"/>
  <c r="X32" i="31" s="1"/>
  <c r="O21" i="31"/>
  <c r="K21" i="31"/>
  <c r="V21" i="31"/>
  <c r="W21" i="31"/>
  <c r="W26" i="31" s="1"/>
  <c r="W32" i="31" s="1"/>
  <c r="J21" i="31"/>
  <c r="R21" i="31"/>
  <c r="G21" i="31"/>
  <c r="H21" i="31" s="1"/>
  <c r="Q21" i="31"/>
  <c r="S21" i="31"/>
  <c r="N21" i="31"/>
  <c r="M21" i="31"/>
  <c r="I21" i="31"/>
  <c r="L21" i="31"/>
  <c r="P21" i="31"/>
  <c r="T21" i="31"/>
  <c r="C38" i="70" l="1"/>
  <c r="FB10" i="60"/>
  <c r="FB11" i="60"/>
  <c r="FB13" i="60"/>
  <c r="FB14" i="60"/>
  <c r="FB12" i="60"/>
  <c r="FB15" i="60"/>
  <c r="FB8" i="60"/>
  <c r="FB7" i="60"/>
  <c r="FB6" i="60"/>
  <c r="FB9" i="60"/>
  <c r="FA16" i="60"/>
  <c r="FC5" i="60"/>
  <c r="L26" i="31"/>
  <c r="L32" i="31" s="1"/>
  <c r="J26" i="31"/>
  <c r="J32" i="31" s="1"/>
  <c r="K26" i="31"/>
  <c r="K32" i="31" s="1"/>
  <c r="S26" i="31"/>
  <c r="S32" i="31" s="1"/>
  <c r="P26" i="31"/>
  <c r="P32" i="31" s="1"/>
  <c r="O26" i="31"/>
  <c r="O32" i="31" s="1"/>
  <c r="I26" i="31"/>
  <c r="I32" i="31" s="1"/>
  <c r="N26" i="31"/>
  <c r="N32" i="31" s="1"/>
  <c r="G15" i="15"/>
  <c r="G17" i="15" s="1"/>
  <c r="T26" i="31"/>
  <c r="T32" i="31" s="1"/>
  <c r="R26" i="31"/>
  <c r="R32" i="31" s="1"/>
  <c r="V26" i="31"/>
  <c r="V32" i="31" s="1"/>
  <c r="V37" i="14"/>
  <c r="V48" i="14" s="1"/>
  <c r="V44" i="14"/>
  <c r="P44" i="14"/>
  <c r="M26" i="31"/>
  <c r="M32" i="31" s="1"/>
  <c r="P46" i="14"/>
  <c r="Q26" i="31"/>
  <c r="Q32" i="31" s="1"/>
  <c r="I44" i="14"/>
  <c r="M48" i="14"/>
  <c r="R44" i="14"/>
  <c r="Q37" i="14"/>
  <c r="Q46" i="14" s="1"/>
  <c r="M44" i="14"/>
  <c r="R48" i="14"/>
  <c r="S37" i="14"/>
  <c r="S48" i="14" s="1"/>
  <c r="L44" i="14"/>
  <c r="L48" i="14"/>
  <c r="W46" i="14"/>
  <c r="W44" i="14"/>
  <c r="K46" i="14"/>
  <c r="K44" i="14"/>
  <c r="X37" i="14"/>
  <c r="X48" i="14" s="1"/>
  <c r="O37" i="14"/>
  <c r="O48" i="14" s="1"/>
  <c r="U37" i="14"/>
  <c r="U48" i="14" s="1"/>
  <c r="T37" i="14"/>
  <c r="T46" i="14" s="1"/>
  <c r="J37" i="14"/>
  <c r="J46" i="14" s="1"/>
  <c r="N44" i="14"/>
  <c r="N46" i="14"/>
  <c r="G26" i="31"/>
  <c r="H26" i="31" s="1"/>
  <c r="I46" i="14"/>
  <c r="I48" i="14"/>
  <c r="FC11" i="60" l="1"/>
  <c r="FC12" i="60"/>
  <c r="FC13" i="60"/>
  <c r="FC14" i="60"/>
  <c r="FC15" i="60"/>
  <c r="FC10" i="60"/>
  <c r="FC7" i="60"/>
  <c r="FC8" i="60"/>
  <c r="FC9" i="60"/>
  <c r="FC6" i="60"/>
  <c r="FD5" i="60"/>
  <c r="FB16" i="60"/>
  <c r="V46" i="14"/>
  <c r="Q48" i="14"/>
  <c r="S46" i="14"/>
  <c r="X46" i="14"/>
  <c r="O46" i="14"/>
  <c r="U46" i="14"/>
  <c r="T48" i="14"/>
  <c r="J48" i="14"/>
  <c r="G32" i="31"/>
  <c r="H32" i="31" s="1"/>
  <c r="FD12" i="60" l="1"/>
  <c r="FD13" i="60"/>
  <c r="FD14" i="60"/>
  <c r="FD15" i="60"/>
  <c r="FD10" i="60"/>
  <c r="FD6" i="60"/>
  <c r="FD11" i="60"/>
  <c r="FD8" i="60"/>
  <c r="FD9" i="60"/>
  <c r="FD7" i="60"/>
  <c r="FC16" i="60"/>
  <c r="FE5" i="60"/>
  <c r="FE13" i="60" l="1"/>
  <c r="FE14" i="60"/>
  <c r="FE15" i="60"/>
  <c r="FE11" i="60"/>
  <c r="FE7" i="60"/>
  <c r="FE12" i="60"/>
  <c r="FE9" i="60"/>
  <c r="FE8" i="60"/>
  <c r="FE10" i="60"/>
  <c r="FE6" i="60"/>
  <c r="FD16" i="60"/>
  <c r="FF5" i="60"/>
  <c r="FF14" i="60" l="1"/>
  <c r="FF15" i="60"/>
  <c r="FF10" i="60"/>
  <c r="FF12" i="60"/>
  <c r="FF8" i="60"/>
  <c r="FF9" i="60"/>
  <c r="FF6" i="60"/>
  <c r="FF13" i="60"/>
  <c r="FF7" i="60"/>
  <c r="FF11" i="60"/>
  <c r="FE16" i="60"/>
  <c r="FG5" i="60"/>
  <c r="FG15" i="60" l="1"/>
  <c r="FG10" i="60"/>
  <c r="FG11" i="60"/>
  <c r="FG9" i="60"/>
  <c r="FG13" i="60"/>
  <c r="FG12" i="60"/>
  <c r="FG14" i="60"/>
  <c r="FG8" i="60"/>
  <c r="FG6" i="60"/>
  <c r="FG7" i="60"/>
  <c r="FF16" i="60"/>
  <c r="FH5" i="60"/>
  <c r="FH11" i="60" l="1"/>
  <c r="FH12" i="60"/>
  <c r="FH15" i="60"/>
  <c r="FH14" i="60"/>
  <c r="FH10" i="60"/>
  <c r="FH8" i="60"/>
  <c r="FH6" i="60"/>
  <c r="FH7" i="60"/>
  <c r="FH13" i="60"/>
  <c r="FH9" i="60"/>
  <c r="FI5" i="60"/>
  <c r="FG16" i="60"/>
  <c r="FI10" i="60" l="1"/>
  <c r="FI12" i="60"/>
  <c r="FI13" i="60"/>
  <c r="FI15" i="60"/>
  <c r="FI14" i="60"/>
  <c r="FI11" i="60"/>
  <c r="FI9" i="60"/>
  <c r="FI8" i="60"/>
  <c r="FI6" i="60"/>
  <c r="FI7" i="60"/>
  <c r="FH16" i="60"/>
  <c r="FJ5" i="60"/>
  <c r="FJ10" i="60" l="1"/>
  <c r="FJ11" i="60"/>
  <c r="FJ13" i="60"/>
  <c r="FJ14" i="60"/>
  <c r="FJ15" i="60"/>
  <c r="FJ8" i="60"/>
  <c r="FJ12" i="60"/>
  <c r="FJ6" i="60"/>
  <c r="FJ7" i="60"/>
  <c r="FJ9" i="60"/>
  <c r="FI16" i="60"/>
  <c r="FK5" i="60"/>
  <c r="FK11" i="60" l="1"/>
  <c r="FK12" i="60"/>
  <c r="FK13" i="60"/>
  <c r="FK14" i="60"/>
  <c r="FK15" i="60"/>
  <c r="FK7" i="60"/>
  <c r="FK8" i="60"/>
  <c r="FK9" i="60"/>
  <c r="FK10" i="60"/>
  <c r="FK6" i="60"/>
  <c r="FL5" i="60"/>
  <c r="FJ16" i="60"/>
  <c r="FL12" i="60" l="1"/>
  <c r="FL13" i="60"/>
  <c r="FL14" i="60"/>
  <c r="FL15" i="60"/>
  <c r="FL6" i="60"/>
  <c r="FL8" i="60"/>
  <c r="FL9" i="60"/>
  <c r="FL10" i="60"/>
  <c r="FL7" i="60"/>
  <c r="FL11" i="60"/>
  <c r="FK16" i="60"/>
  <c r="FM5" i="60"/>
  <c r="FM13" i="60" l="1"/>
  <c r="FM14" i="60"/>
  <c r="FM15" i="60"/>
  <c r="FM7" i="60"/>
  <c r="FM9" i="60"/>
  <c r="FM10" i="60"/>
  <c r="FM11" i="60"/>
  <c r="FM12" i="60"/>
  <c r="FM8" i="60"/>
  <c r="FM6" i="60"/>
  <c r="FN5" i="60"/>
  <c r="FL16" i="60"/>
  <c r="FN14" i="60" l="1"/>
  <c r="FN15" i="60"/>
  <c r="FN10" i="60"/>
  <c r="FN8" i="60"/>
  <c r="FN9" i="60"/>
  <c r="FN11" i="60"/>
  <c r="FN13" i="60"/>
  <c r="FN12" i="60"/>
  <c r="FN7" i="60"/>
  <c r="FN6" i="60"/>
  <c r="FM16" i="60"/>
  <c r="FO5" i="60"/>
  <c r="FO15" i="60" l="1"/>
  <c r="FO10" i="60"/>
  <c r="FO11" i="60"/>
  <c r="FO9" i="60"/>
  <c r="FO14" i="60"/>
  <c r="FO13" i="60"/>
  <c r="FO12" i="60"/>
  <c r="FO8" i="60"/>
  <c r="FO6" i="60"/>
  <c r="FO7" i="60"/>
  <c r="FN16" i="60"/>
  <c r="FP5" i="60"/>
  <c r="FP11" i="60" l="1"/>
  <c r="FP12" i="60"/>
  <c r="FP15" i="60"/>
  <c r="FP14" i="60"/>
  <c r="FP13" i="60"/>
  <c r="FP10" i="60"/>
  <c r="FP8" i="60"/>
  <c r="FP9" i="60"/>
  <c r="FP6" i="60"/>
  <c r="FP7" i="60"/>
  <c r="FO16" i="60"/>
  <c r="FQ5" i="60"/>
  <c r="FQ10" i="60" l="1"/>
  <c r="FQ12" i="60"/>
  <c r="FQ13" i="60"/>
  <c r="FQ14" i="60"/>
  <c r="FQ11" i="60"/>
  <c r="FQ9" i="60"/>
  <c r="FQ6" i="60"/>
  <c r="FQ7" i="60"/>
  <c r="FQ8" i="60"/>
  <c r="FQ15" i="60"/>
  <c r="FR5" i="60"/>
  <c r="FP16" i="60"/>
  <c r="FR10" i="60" l="1"/>
  <c r="FR11" i="60"/>
  <c r="FR13" i="60"/>
  <c r="FR14" i="60"/>
  <c r="FR12" i="60"/>
  <c r="FR8" i="60"/>
  <c r="FR15" i="60"/>
  <c r="FR6" i="60"/>
  <c r="FR9" i="60"/>
  <c r="FR7" i="60"/>
  <c r="FQ16" i="60"/>
  <c r="FS5" i="60"/>
  <c r="FS11" i="60" l="1"/>
  <c r="FS12" i="60"/>
  <c r="FS13" i="60"/>
  <c r="FS14" i="60"/>
  <c r="FS15" i="60"/>
  <c r="FS10" i="60"/>
  <c r="FS7" i="60"/>
  <c r="FS8" i="60"/>
  <c r="FS9" i="60"/>
  <c r="FS6" i="60"/>
  <c r="FR16" i="60"/>
  <c r="FT5" i="60"/>
  <c r="FT12" i="60" l="1"/>
  <c r="FT13" i="60"/>
  <c r="FT14" i="60"/>
  <c r="FT15" i="60"/>
  <c r="FT10" i="60"/>
  <c r="FT6" i="60"/>
  <c r="FT11" i="60"/>
  <c r="FT8" i="60"/>
  <c r="FT9" i="60"/>
  <c r="FT7" i="60"/>
  <c r="FS16" i="60"/>
  <c r="FU5" i="60"/>
  <c r="FU13" i="60" l="1"/>
  <c r="FU14" i="60"/>
  <c r="FU15" i="60"/>
  <c r="FU11" i="60"/>
  <c r="FU7" i="60"/>
  <c r="FU12" i="60"/>
  <c r="FU9" i="60"/>
  <c r="FU10" i="60"/>
  <c r="FU6" i="60"/>
  <c r="FU8" i="60"/>
  <c r="FT16" i="60"/>
  <c r="FV5" i="60"/>
  <c r="FV14" i="60" l="1"/>
  <c r="FV15" i="60"/>
  <c r="FV10" i="60"/>
  <c r="FV12" i="60"/>
  <c r="FV8" i="60"/>
  <c r="FV13" i="60"/>
  <c r="FV9" i="60"/>
  <c r="FV7" i="60"/>
  <c r="FV11" i="60"/>
  <c r="FV6" i="60"/>
  <c r="FU16" i="60"/>
  <c r="FW5" i="60"/>
  <c r="FW15" i="60" l="1"/>
  <c r="FW10" i="60"/>
  <c r="FW11" i="60"/>
  <c r="FW13" i="60"/>
  <c r="FW9" i="60"/>
  <c r="FW7" i="60"/>
  <c r="FW12" i="60"/>
  <c r="FW14" i="60"/>
  <c r="FW8" i="60"/>
  <c r="FW6" i="60"/>
  <c r="FV16" i="60"/>
  <c r="FX5" i="60"/>
  <c r="FX11" i="60" l="1"/>
  <c r="FX12" i="60"/>
  <c r="FX14" i="60"/>
  <c r="FX10" i="60"/>
  <c r="FX8" i="60"/>
  <c r="FX9" i="60"/>
  <c r="FX13" i="60"/>
  <c r="FX6" i="60"/>
  <c r="FX7" i="60"/>
  <c r="FX15" i="60"/>
  <c r="FY5" i="60"/>
  <c r="FW16" i="60"/>
  <c r="FY10" i="60" l="1"/>
  <c r="FY12" i="60"/>
  <c r="FY13" i="60"/>
  <c r="FY15" i="60"/>
  <c r="FY11" i="60"/>
  <c r="FY9" i="60"/>
  <c r="FY14" i="60"/>
  <c r="FY8" i="60"/>
  <c r="FY6" i="60"/>
  <c r="FY7" i="60"/>
  <c r="FZ5" i="60"/>
  <c r="FX16" i="60"/>
  <c r="FZ10" i="60" l="1"/>
  <c r="FZ11" i="60"/>
  <c r="FZ13" i="60"/>
  <c r="FZ14" i="60"/>
  <c r="FZ15" i="60"/>
  <c r="FZ8" i="60"/>
  <c r="FZ12" i="60"/>
  <c r="FZ9" i="60"/>
  <c r="FZ6" i="60"/>
  <c r="FZ7" i="60"/>
  <c r="FY16" i="60"/>
  <c r="GA5" i="60"/>
  <c r="F7" i="69" l="1"/>
  <c r="D17" i="69" s="1"/>
  <c r="GA11" i="60"/>
  <c r="GA12" i="60"/>
  <c r="GA13" i="60"/>
  <c r="GA14" i="60"/>
  <c r="GA15" i="60"/>
  <c r="GA7" i="60"/>
  <c r="GA8" i="60"/>
  <c r="GA9" i="60"/>
  <c r="GA6" i="60"/>
  <c r="GA10" i="60"/>
  <c r="GB5" i="60"/>
  <c r="FZ16" i="60"/>
  <c r="D19" i="69" l="1"/>
  <c r="H7" i="69"/>
  <c r="D15" i="69"/>
  <c r="GB12" i="60"/>
  <c r="GB13" i="60"/>
  <c r="GB14" i="60"/>
  <c r="GB15" i="60"/>
  <c r="GB6" i="60"/>
  <c r="GB8" i="60"/>
  <c r="GB9" i="60"/>
  <c r="GB10" i="60"/>
  <c r="GB11" i="60"/>
  <c r="GB7" i="60"/>
  <c r="GC5" i="60"/>
  <c r="GA16" i="60"/>
  <c r="GC13" i="60" l="1"/>
  <c r="GC14" i="60"/>
  <c r="GC15" i="60"/>
  <c r="GC7" i="60"/>
  <c r="GC9" i="60"/>
  <c r="GC10" i="60"/>
  <c r="GC11" i="60"/>
  <c r="GC6" i="60"/>
  <c r="GC8" i="60"/>
  <c r="GC12" i="60"/>
  <c r="GB16" i="60"/>
  <c r="GD5" i="60"/>
  <c r="GD14" i="60" l="1"/>
  <c r="GD15" i="60"/>
  <c r="GD10" i="60"/>
  <c r="GD8" i="60"/>
  <c r="GD9" i="60"/>
  <c r="GD11" i="60"/>
  <c r="GD12" i="60"/>
  <c r="GD13" i="60"/>
  <c r="GD7" i="60"/>
  <c r="GD6" i="60"/>
  <c r="GC16" i="60"/>
  <c r="GE5" i="60"/>
  <c r="GE15" i="60" l="1"/>
  <c r="GE10" i="60"/>
  <c r="GE11" i="60"/>
  <c r="GE9" i="60"/>
  <c r="GE12" i="60"/>
  <c r="GE14" i="60"/>
  <c r="GE8" i="60"/>
  <c r="GE13" i="60"/>
  <c r="GE7" i="60"/>
  <c r="GE6" i="60"/>
  <c r="GD16" i="60"/>
  <c r="GF5" i="60"/>
  <c r="GF11" i="60" l="1"/>
  <c r="GF12" i="60"/>
  <c r="GF15" i="60"/>
  <c r="GF10" i="60"/>
  <c r="GF14" i="60"/>
  <c r="GF13" i="60"/>
  <c r="GF8" i="60"/>
  <c r="GF7" i="60"/>
  <c r="GF6" i="60"/>
  <c r="GF9" i="60"/>
  <c r="GE16" i="60"/>
  <c r="GG5" i="60"/>
  <c r="GG10" i="60" l="1"/>
  <c r="GG12" i="60"/>
  <c r="GG13" i="60"/>
  <c r="GG15" i="60"/>
  <c r="GG14" i="60"/>
  <c r="GG11" i="60"/>
  <c r="GG9" i="60"/>
  <c r="GG8" i="60"/>
  <c r="GG7" i="60"/>
  <c r="GG6" i="60"/>
  <c r="GF16" i="60"/>
  <c r="GH5" i="60"/>
  <c r="GH10" i="60" l="1"/>
  <c r="GH11" i="60"/>
  <c r="GH13" i="60"/>
  <c r="GH14" i="60"/>
  <c r="GH15" i="60"/>
  <c r="GH12" i="60"/>
  <c r="GH8" i="60"/>
  <c r="GH6" i="60"/>
  <c r="GH9" i="60"/>
  <c r="GH7" i="60"/>
  <c r="GI5" i="60"/>
  <c r="GG16" i="60"/>
  <c r="GI11" i="60" l="1"/>
  <c r="GI12" i="60"/>
  <c r="GI13" i="60"/>
  <c r="GI14" i="60"/>
  <c r="GI15" i="60"/>
  <c r="GI10" i="60"/>
  <c r="GI7" i="60"/>
  <c r="GI8" i="60"/>
  <c r="GI9" i="60"/>
  <c r="GI6" i="60"/>
  <c r="GH16" i="60"/>
  <c r="GI16" i="6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tc={6BFAAA63-B66F-452F-B146-F9CB496AA9ED}</author>
  </authors>
  <commentList>
    <comment ref="C32" authorId="0" shapeId="0" xr:uid="{6BFAAA63-B66F-452F-B146-F9CB496AA9ED}">
      <text>
        <t>[Threaded comment]
Your version of Excel allows you to read this threaded comment; however, any edits to it will get removed if the file is opened in a newer version of Excel. Learn more: https://go.microsoft.com/fwlink/?linkid=870924
Comment:
    https://www.justia.com/tax/corporate-tax/business-tax-deductions/section-179-and-bonus-depreciation/#:~:text=The%20100%20percent%20rule%20will,is%20set%20at%2080%20percent.
The government allows 100% depreciation until the end of 2022</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tc={40C51F8E-229A-4F32-9F99-5913C5FE727B}</author>
    <author>tc={4541B171-949F-4FBD-8734-8177F38A6D48}</author>
  </authors>
  <commentList>
    <comment ref="E18" authorId="0" shapeId="0" xr:uid="{40C51F8E-229A-4F32-9F99-5913C5FE727B}">
      <text>
        <t>[Threaded comment]
Your version of Excel allows you to read this threaded comment; however, any edits to it will get removed if the file is opened in a newer version of Excel. Learn more: https://go.microsoft.com/fwlink/?linkid=870924
Comment:
    Qty represents inflection points in the shipping prices based on quotes from polaris, not the actual number of LBs being shipped but the range it falls into</t>
      </text>
    </comment>
    <comment ref="E25" authorId="1" shapeId="0" xr:uid="{4541B171-949F-4FBD-8734-8177F38A6D48}">
      <text>
        <t>[Threaded comment]
Your version of Excel allows you to read this threaded comment; however, any edits to it will get removed if the file is opened in a newer version of Excel. Learn more: https://go.microsoft.com/fwlink/?linkid=870924
Comment:
    Qty represents inflection points in the shipping prices based on quotes from polaris, not the actual number of LBs being shipped but the range it falls into</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Jason Keyser</author>
    <author>tc={5478B73D-763E-4C95-B838-D8A686C2D610}</author>
    <author>tc={CF05A053-F3F4-4F65-9B44-B27E2A8D015C}</author>
    <author>tc={4188BEC7-1840-4B2D-B44C-9A72C14F0EBF}</author>
  </authors>
  <commentList>
    <comment ref="B5" authorId="0" shapeId="0" xr:uid="{431962A4-343A-4289-AC81-338A256FF0C2}">
      <text>
        <r>
          <rPr>
            <b/>
            <sz val="9"/>
            <color indexed="81"/>
            <rFont val="Tahoma"/>
            <family val="2"/>
          </rPr>
          <t>Jason Keyser:</t>
        </r>
        <r>
          <rPr>
            <sz val="9"/>
            <color indexed="81"/>
            <rFont val="Tahoma"/>
            <family val="2"/>
          </rPr>
          <t xml:space="preserve">
prevailing market yield to maturity at any specific maturity</t>
        </r>
      </text>
    </comment>
    <comment ref="D5" authorId="0" shapeId="0" xr:uid="{D5291E83-A00B-40DF-81F4-BE308C43FE07}">
      <text>
        <r>
          <rPr>
            <b/>
            <sz val="9"/>
            <color indexed="81"/>
            <rFont val="Tahoma"/>
            <family val="2"/>
          </rPr>
          <t>Jason Keyser:</t>
        </r>
        <r>
          <rPr>
            <sz val="9"/>
            <color indexed="81"/>
            <rFont val="Tahoma"/>
            <family val="2"/>
          </rPr>
          <t xml:space="preserve">
enter in a percentage change in any yellow celll to see the effects of a yield curve shift on the portfolio</t>
        </r>
      </text>
    </comment>
    <comment ref="A10" authorId="1" shapeId="0" xr:uid="{5478B73D-763E-4C95-B838-D8A686C2D610}">
      <text>
        <t>[Threaded comment]
Your version of Excel allows you to read this threaded comment; however, any edits to it will get removed if the file is opened in a newer version of Excel. Learn more: https://go.microsoft.com/fwlink/?linkid=870924
Comment:
    Experiment with the yellow cells in the yield curve table to see different possible shifts and their effects on portfolio value</t>
      </text>
    </comment>
    <comment ref="B11" authorId="0" shapeId="0" xr:uid="{67FBE0DF-8707-4FF5-83FF-0E62807FD920}">
      <text>
        <r>
          <rPr>
            <b/>
            <sz val="9"/>
            <color indexed="81"/>
            <rFont val="Tahoma"/>
            <family val="2"/>
          </rPr>
          <t>Jason Keyser:</t>
        </r>
        <r>
          <rPr>
            <sz val="9"/>
            <color indexed="81"/>
            <rFont val="Tahoma"/>
            <family val="2"/>
          </rPr>
          <t xml:space="preserve">
</t>
        </r>
        <r>
          <rPr>
            <sz val="16"/>
            <color indexed="81"/>
            <rFont val="Tahoma"/>
            <family val="2"/>
          </rPr>
          <t>If duration is matched, and asset convexity is greater than liability convexity, the surplus will increase due to the convexity effect</t>
        </r>
      </text>
    </comment>
    <comment ref="B12" authorId="0" shapeId="0" xr:uid="{4E1FDCFA-5C0A-43EB-800F-956CE2B597CB}">
      <text>
        <r>
          <rPr>
            <b/>
            <sz val="9"/>
            <color indexed="81"/>
            <rFont val="Tahoma"/>
            <family val="2"/>
          </rPr>
          <t>Jason Keyser:</t>
        </r>
        <r>
          <rPr>
            <sz val="9"/>
            <color indexed="81"/>
            <rFont val="Tahoma"/>
            <family val="2"/>
          </rPr>
          <t xml:space="preserve">
</t>
        </r>
        <r>
          <rPr>
            <sz val="16"/>
            <color indexed="81"/>
            <rFont val="Tahoma"/>
            <family val="2"/>
          </rPr>
          <t>If duration is matched, and asset convexity is greater than liability convexity, the surplus will increase due to the convexity effect</t>
        </r>
      </text>
    </comment>
    <comment ref="A13" authorId="0" shapeId="0" xr:uid="{1913B6E8-76E2-425A-A8B2-904B822CF336}">
      <text>
        <r>
          <rPr>
            <b/>
            <sz val="9"/>
            <color indexed="81"/>
            <rFont val="Tahoma"/>
            <family val="2"/>
          </rPr>
          <t>Jason Keyser:</t>
        </r>
        <r>
          <rPr>
            <sz val="9"/>
            <color indexed="81"/>
            <rFont val="Tahoma"/>
            <family val="2"/>
          </rPr>
          <t xml:space="preserve">
</t>
        </r>
        <r>
          <rPr>
            <sz val="16"/>
            <color indexed="81"/>
            <rFont val="Tahoma"/>
            <family val="2"/>
          </rPr>
          <t>Yield curve becomes more steep while the medium portion of the curve remains unchanged</t>
        </r>
      </text>
    </comment>
    <comment ref="B13" authorId="0" shapeId="0" xr:uid="{03E0F8EB-74BB-4376-8986-1328AB5797C5}">
      <text>
        <r>
          <rPr>
            <b/>
            <sz val="9"/>
            <color indexed="81"/>
            <rFont val="Tahoma"/>
            <family val="2"/>
          </rPr>
          <t>Jason Keyser:</t>
        </r>
        <r>
          <rPr>
            <sz val="9"/>
            <color indexed="81"/>
            <rFont val="Tahoma"/>
            <family val="2"/>
          </rPr>
          <t xml:space="preserve">
</t>
        </r>
        <r>
          <rPr>
            <sz val="14"/>
            <color indexed="81"/>
            <rFont val="Tahoma"/>
            <family val="2"/>
          </rPr>
          <t>The portfolio market value and surplus will likely decrease as the long tenured bond's fall in price is greater than the rise in price of the short tenured bond.
This loss in value is named structural risk and is inherihent in this barbell set up. (Greater dispersion of assets creates greater structural risk and convexity, a tradeoff which needs to be managed)</t>
        </r>
      </text>
    </comment>
    <comment ref="A14" authorId="0" shapeId="0" xr:uid="{9ACB5888-2E64-4DDD-A459-740C9B6834B6}">
      <text>
        <r>
          <rPr>
            <b/>
            <sz val="9"/>
            <color indexed="81"/>
            <rFont val="Tahoma"/>
            <family val="2"/>
          </rPr>
          <t>Jason Keyser:</t>
        </r>
        <r>
          <rPr>
            <sz val="9"/>
            <color indexed="81"/>
            <rFont val="Tahoma"/>
            <family val="2"/>
          </rPr>
          <t xml:space="preserve">
</t>
        </r>
        <r>
          <rPr>
            <sz val="16"/>
            <color indexed="81"/>
            <rFont val="Tahoma"/>
            <family val="2"/>
          </rPr>
          <t>The curve becomes more flat while the medium maturity remains unchanged</t>
        </r>
      </text>
    </comment>
    <comment ref="B14" authorId="0" shapeId="0" xr:uid="{CEB07AEA-9125-4901-A58C-2E85D2E30DB3}">
      <text>
        <r>
          <rPr>
            <b/>
            <sz val="9"/>
            <color indexed="81"/>
            <rFont val="Tahoma"/>
            <family val="2"/>
          </rPr>
          <t>Jason Keyser:</t>
        </r>
        <r>
          <rPr>
            <sz val="9"/>
            <color indexed="81"/>
            <rFont val="Tahoma"/>
            <family val="2"/>
          </rPr>
          <t xml:space="preserve">
</t>
        </r>
        <r>
          <rPr>
            <sz val="16"/>
            <color indexed="81"/>
            <rFont val="Tahoma"/>
            <family val="2"/>
          </rPr>
          <t>A flattening twist will most likely increase portfolio suplus for the same reasons the steepening twist hurts it.
The long tenured bond will rise in price by greater than the fall of the short tenured bond while the liability's value remains unchanged</t>
        </r>
      </text>
    </comment>
    <comment ref="A15" authorId="0" shapeId="0" xr:uid="{C21591CF-7880-461D-8B4A-61CB6417E636}">
      <text>
        <r>
          <rPr>
            <b/>
            <sz val="9"/>
            <color indexed="81"/>
            <rFont val="Tahoma"/>
            <family val="2"/>
          </rPr>
          <t>Jason Keyser:</t>
        </r>
        <r>
          <rPr>
            <sz val="9"/>
            <color indexed="81"/>
            <rFont val="Tahoma"/>
            <family val="2"/>
          </rPr>
          <t xml:space="preserve">
</t>
        </r>
        <r>
          <rPr>
            <sz val="16"/>
            <color indexed="81"/>
            <rFont val="Tahoma"/>
            <family val="2"/>
          </rPr>
          <t>Wings of the butterfly flap upward (low maturity rises, high matruity rises) while the medium maturity falls
"Positive" because it resembles a smile - not because it is good for immunization portfolios</t>
        </r>
      </text>
    </comment>
    <comment ref="B15" authorId="0" shapeId="0" xr:uid="{6F4FE741-A0ED-4AC5-AED9-D2759CD291A7}">
      <text>
        <r>
          <rPr>
            <b/>
            <sz val="9"/>
            <color indexed="81"/>
            <rFont val="Tahoma"/>
            <family val="2"/>
          </rPr>
          <t>Jason Keyser:</t>
        </r>
        <r>
          <rPr>
            <sz val="9"/>
            <color indexed="81"/>
            <rFont val="Tahoma"/>
            <family val="2"/>
          </rPr>
          <t xml:space="preserve">
</t>
        </r>
        <r>
          <rPr>
            <sz val="16"/>
            <color indexed="81"/>
            <rFont val="Tahoma"/>
            <family val="2"/>
          </rPr>
          <t>The worst possible scenario for the portfolio. Rates in the "wings" rise, causing the asset prices to fall, while medium rates fall, causing the liability price to rise. This can significantly reduce the surplus of the portfolio</t>
        </r>
      </text>
    </comment>
    <comment ref="A16" authorId="0" shapeId="0" xr:uid="{BF0F7B38-D1EA-41D7-A439-5F0A023A080B}">
      <text>
        <r>
          <rPr>
            <b/>
            <sz val="9"/>
            <color indexed="81"/>
            <rFont val="Tahoma"/>
            <family val="2"/>
          </rPr>
          <t>Jason Keyser:</t>
        </r>
        <r>
          <rPr>
            <sz val="9"/>
            <color indexed="81"/>
            <rFont val="Tahoma"/>
            <family val="2"/>
          </rPr>
          <t xml:space="preserve">
</t>
        </r>
        <r>
          <rPr>
            <sz val="16"/>
            <color indexed="81"/>
            <rFont val="Tahoma"/>
            <family val="2"/>
          </rPr>
          <t>Wings of the butterfly flap down (high and low maturities fall while medium rises)</t>
        </r>
      </text>
    </comment>
    <comment ref="B16" authorId="0" shapeId="0" xr:uid="{1EAD4FD2-7D58-461A-8D41-B38FFBD409AC}">
      <text>
        <r>
          <rPr>
            <b/>
            <sz val="9"/>
            <color indexed="81"/>
            <rFont val="Tahoma"/>
            <family val="2"/>
          </rPr>
          <t>Jason Keyser:</t>
        </r>
        <r>
          <rPr>
            <sz val="9"/>
            <color indexed="81"/>
            <rFont val="Tahoma"/>
            <family val="2"/>
          </rPr>
          <t xml:space="preserve">
</t>
        </r>
        <r>
          <rPr>
            <sz val="16"/>
            <color indexed="81"/>
            <rFont val="Tahoma"/>
            <family val="2"/>
          </rPr>
          <t xml:space="preserve">Will be favorable for the suplus. Asset values rise as rates in the "wings" fall and liability value falls as rates in the body rise
</t>
        </r>
      </text>
    </comment>
    <comment ref="D16" authorId="0" shapeId="0" xr:uid="{908581B2-0628-4EB8-ABF7-2160C23B31B1}">
      <text>
        <r>
          <rPr>
            <b/>
            <sz val="9"/>
            <color indexed="81"/>
            <rFont val="Tahoma"/>
            <family val="2"/>
          </rPr>
          <t>Jason Keyser:</t>
        </r>
        <r>
          <rPr>
            <sz val="9"/>
            <color indexed="81"/>
            <rFont val="Tahoma"/>
            <family val="2"/>
          </rPr>
          <t xml:space="preserve">
Macro first recalculates the IRRs of the assets and liabilities, then rebalances the portfolio by adjusting the quantity of the 2 year bond held
Ignores profits or losses associated with rebalancing</t>
        </r>
      </text>
    </comment>
    <comment ref="B29" authorId="2" shapeId="0" xr:uid="{CF05A053-F3F4-4F65-9B44-B27E2A8D015C}">
      <text>
        <t>[Threaded comment]
Your version of Excel allows you to read this threaded comment; however, any edits to it will get removed if the file is opened in a newer version of Excel. Learn more: https://go.microsoft.com/fwlink/?linkid=870924
Comment:
    Using the actual Portfolio IRR instead of using a weighted average of the bonds YTMs because it is a technically more correct measure. Using simple weighted averages will overestimate portfolio summary stats in an upward sloping yield curve</t>
      </text>
    </comment>
    <comment ref="C29" authorId="3" shapeId="0" xr:uid="{4188BEC7-1840-4B2D-B44C-9A72C14F0EBF}">
      <text>
        <t>[Threaded comment]
Your version of Excel allows you to read this threaded comment; however, any edits to it will get removed if the file is opened in a newer version of Excel. Learn more: https://go.microsoft.com/fwlink/?linkid=870924
Comment:
    Because this is a single liability with no coupons, the IRR is simply equal to the Yield to Maturity</t>
      </text>
    </comment>
    <comment ref="C31" authorId="0" shapeId="0" xr:uid="{FAFADD86-F640-4E15-8B20-B3AAC86B9D3A}">
      <text>
        <r>
          <rPr>
            <b/>
            <sz val="9"/>
            <color indexed="81"/>
            <rFont val="Tahoma"/>
            <family val="2"/>
          </rPr>
          <t>Jason Keyser:</t>
        </r>
        <r>
          <rPr>
            <sz val="9"/>
            <color indexed="81"/>
            <rFont val="Tahoma"/>
            <family val="2"/>
          </rPr>
          <t xml:space="preserve">
why does the liability have any convexity? There is no dispersion, shouldn't this equal zero?</t>
        </r>
      </text>
    </comment>
    <comment ref="A32" authorId="0" shapeId="0" xr:uid="{B298FA16-A9C9-456F-AA6F-D9DBD8A45E79}">
      <text>
        <r>
          <rPr>
            <b/>
            <sz val="9"/>
            <color indexed="81"/>
            <rFont val="Tahoma"/>
            <family val="2"/>
          </rPr>
          <t>Jason Keyser:</t>
        </r>
        <r>
          <rPr>
            <sz val="9"/>
            <color indexed="81"/>
            <rFont val="Tahoma"/>
            <family val="2"/>
          </rPr>
          <t xml:space="preserve">
calculating convexity using the dispersion calculation to prove they are the same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tc={994A21E8-2EF4-4BBA-8DE1-6E315688F26B}</author>
    <author>tc={0B65953A-0593-4A4A-84ED-B639937FC9EB}</author>
    <author>tc={35EC26AB-4E16-496B-88D7-38051BD107B5}</author>
  </authors>
  <commentList>
    <comment ref="B14" authorId="0" shapeId="0" xr:uid="{994A21E8-2EF4-4BBA-8DE1-6E315688F26B}">
      <text>
        <t>[Threaded comment]
Your version of Excel allows you to read this threaded comment; however, any edits to it will get removed if the file is opened in a newer version of Excel. Learn more: https://go.microsoft.com/fwlink/?linkid=870924
Comment:
    The receiver swaption strike price will always be at or below the swap fixed rate. If it was priced above the swap fixed rate it would be exercisable immediately and therefore make no sense to the swaption writer.</t>
      </text>
    </comment>
    <comment ref="B15" authorId="1" shapeId="0" xr:uid="{0B65953A-0593-4A4A-84ED-B639937FC9EB}">
      <text>
        <t>[Threaded comment]
Your version of Excel allows you to read this threaded comment; however, any edits to it will get removed if the file is opened in a newer version of Excel. Learn more: https://go.microsoft.com/fwlink/?linkid=870924
Comment:
    The payer swaption strike price will always be at or above the swap fixed rate. If it was priced below the swap fixed rate it would be exercisable immediately and therefore make no sense to the swaption writer.</t>
      </text>
    </comment>
    <comment ref="B20" authorId="2" shapeId="0" xr:uid="{35EC26AB-4E16-496B-88D7-38051BD107B5}">
      <text>
        <t>[Threaded comment]
Your version of Excel allows you to read this threaded comment; however, any edits to it will get removed if the file is opened in a newer version of Excel. Learn more: https://go.microsoft.com/fwlink/?linkid=870924
Comment:
    The correct notional principal size of the fixed rate swap will be determined by the basis point value of the swap and the size of the duration gap</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tc={C63EA897-8915-49F6-AA81-18613DEAEBCA}</author>
    <author>tc={8E137366-419E-4574-907B-FDE7F33E8BD5}</author>
  </authors>
  <commentList>
    <comment ref="B14" authorId="0" shapeId="0" xr:uid="{C63EA897-8915-49F6-AA81-18613DEAEBCA}">
      <text>
        <t>[Threaded comment]
Your version of Excel allows you to read this threaded comment; however, any edits to it will get removed if the file is opened in a newer version of Excel. Learn more: https://go.microsoft.com/fwlink/?linkid=870924
Comment:
    The receiver swaption strike price will always be at or below the swap fixed rate. If it was priced above the swap fixed rate it would be exercisable immediately and therefore make no sense to the swaption writer.</t>
      </text>
    </comment>
    <comment ref="B15" authorId="1" shapeId="0" xr:uid="{8E137366-419E-4574-907B-FDE7F33E8BD5}">
      <text>
        <t>[Threaded comment]
Your version of Excel allows you to read this threaded comment; however, any edits to it will get removed if the file is opened in a newer version of Excel. Learn more: https://go.microsoft.com/fwlink/?linkid=870924
Comment:
    The payer swaption strike price will always be at or above the swap fixed rate. If it was priced below the swap fixed rate it would be exercisable immediately and therefore make no sense to the swaption writer.</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tc={BB7E1587-7012-4A7B-AF31-70F8DB6CC4EB}</author>
    <author>Jason Keyser</author>
    <author>tc={47812344-C48B-4FF4-B222-AA2CEA501445}</author>
    <author>tc={4A26B4C6-81AF-42BF-B11E-B92664E66187}</author>
  </authors>
  <commentList>
    <comment ref="C9" authorId="0" shapeId="0" xr:uid="{BB7E1587-7012-4A7B-AF31-70F8DB6CC4EB}">
      <text>
        <t>[Threaded comment]
Your version of Excel allows you to read this threaded comment; however, any edits to it will get removed if the file is opened in a newer version of Excel. Learn more: https://go.microsoft.com/fwlink/?linkid=870924
Comment:
    The change in value for a 1 basis point change in interest rates
Reply:
    Should be the same if the balance sheet is duration matched</t>
      </text>
    </comment>
    <comment ref="D12" authorId="1" shapeId="0" xr:uid="{12751E74-A5AE-4A44-BF30-C23CD5EC554B}">
      <text>
        <r>
          <rPr>
            <b/>
            <sz val="9"/>
            <color indexed="81"/>
            <rFont val="Tahoma"/>
            <family val="2"/>
          </rPr>
          <t>Jason Keyser:</t>
        </r>
        <r>
          <rPr>
            <sz val="9"/>
            <color indexed="81"/>
            <rFont val="Tahoma"/>
            <family val="2"/>
          </rPr>
          <t xml:space="preserve">
represents the maximum amount the assets convexity can be greater than the liabilites convexity. The greater the difference, the more shaping risk introduced.
In practice, how is this determined?</t>
        </r>
      </text>
    </comment>
    <comment ref="F15" authorId="2" shapeId="0" xr:uid="{47812344-C48B-4FF4-B222-AA2CEA501445}">
      <text>
        <t>[Threaded comment]
Your version of Excel allows you to read this threaded comment; however, any edits to it will get removed if the file is opened in a newer version of Excel. Learn more: https://go.microsoft.com/fwlink/?linkid=870924
Comment:
    After any change in interest rates, a new effective duration must be estimated for the portfolio</t>
      </text>
    </comment>
    <comment ref="D23" authorId="1" shapeId="0" xr:uid="{3A68AF33-6B26-4290-BBC8-007F9323662E}">
      <text>
        <r>
          <rPr>
            <b/>
            <sz val="9"/>
            <color indexed="81"/>
            <rFont val="Tahoma"/>
            <family val="2"/>
          </rPr>
          <t>Jason Keyser:</t>
        </r>
        <r>
          <rPr>
            <sz val="9"/>
            <color indexed="81"/>
            <rFont val="Tahoma"/>
            <family val="2"/>
          </rPr>
          <t xml:space="preserve">
if Zero Cost collar is used, the strike of the receive fixed swaption is shown</t>
        </r>
      </text>
    </comment>
    <comment ref="C28" authorId="3" shapeId="0" xr:uid="{4A26B4C6-81AF-42BF-B11E-B92664E66187}">
      <text>
        <t>[Threaded comment]
Your version of Excel allows you to read this threaded comment; however, any edits to it will get removed if the file is opened in a newer version of Excel. Learn more: https://go.microsoft.com/fwlink/?linkid=870924
Comment:
    Setting an overlay will correctly size the notional value to hedge the duration gap</t>
      </text>
    </comment>
    <comment ref="D31" authorId="1" shapeId="0" xr:uid="{FD598902-18B4-4024-B73A-D65D28847969}">
      <text>
        <r>
          <rPr>
            <b/>
            <sz val="9"/>
            <color indexed="81"/>
            <rFont val="Tahoma"/>
            <family val="2"/>
          </rPr>
          <t>Jason Keyser:</t>
        </r>
        <r>
          <rPr>
            <sz val="9"/>
            <color indexed="81"/>
            <rFont val="Tahoma"/>
            <family val="2"/>
          </rPr>
          <t xml:space="preserve">
credit spread specific to the company used to discount the liabilities
</t>
        </r>
      </text>
    </comment>
    <comment ref="E31" authorId="1" shapeId="0" xr:uid="{E45F141D-8F52-41C4-B2B1-071B85440E2C}">
      <text>
        <r>
          <rPr>
            <b/>
            <sz val="9"/>
            <color indexed="81"/>
            <rFont val="Tahoma"/>
            <family val="2"/>
          </rPr>
          <t>Jason Keyser:</t>
        </r>
        <r>
          <rPr>
            <sz val="9"/>
            <color indexed="81"/>
            <rFont val="Tahoma"/>
            <family val="2"/>
          </rPr>
          <t xml:space="preserve">
enter in a percentage change in any yellow celll to see the effects of a yield curve shift on the portfolio</t>
        </r>
      </text>
    </comment>
    <comment ref="F31" authorId="1" shapeId="0" xr:uid="{4F234A26-F596-49DA-9D34-D1429A61CA37}">
      <text>
        <r>
          <rPr>
            <b/>
            <sz val="9"/>
            <color indexed="81"/>
            <rFont val="Tahoma"/>
            <family val="2"/>
          </rPr>
          <t>Jason Keyser:</t>
        </r>
        <r>
          <rPr>
            <sz val="9"/>
            <color indexed="81"/>
            <rFont val="Tahoma"/>
            <family val="2"/>
          </rPr>
          <t xml:space="preserve">
US Treasury Par Yields at different maturies
Based on actual curve observed on 3/1/2024
source: https://home.treasury.gov/resource-center/data-chart-center/interest-rates/TextView?type=daily_treasury_yield_curve&amp;field_tdr_date_value_month=202403</t>
        </r>
      </text>
    </comment>
    <comment ref="F38" authorId="1" shapeId="0" xr:uid="{0802F7A0-1365-40E2-911C-3E7708063DC5}">
      <text>
        <r>
          <rPr>
            <b/>
            <sz val="9"/>
            <color indexed="81"/>
            <rFont val="Tahoma"/>
            <family val="2"/>
          </rPr>
          <t>Jason Keyser:</t>
        </r>
        <r>
          <rPr>
            <sz val="9"/>
            <color indexed="81"/>
            <rFont val="Tahoma"/>
            <family val="2"/>
          </rPr>
          <t xml:space="preserve">
yield curve data does not go out this far, how should I estimate this?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tc={F620C4B6-35EA-4DD2-8486-954DA4AB9EB6}</author>
  </authors>
  <commentList>
    <comment ref="G5" authorId="0" shapeId="0" xr:uid="{F620C4B6-35EA-4DD2-8486-954DA4AB9EB6}">
      <text>
        <t>[Threaded comment]
Your version of Excel allows you to read this threaded comment; however, any edits to it will get removed if the file is opened in a newer version of Excel. Learn more: https://go.microsoft.com/fwlink/?linkid=870924
Comment:
    Premium is not priced using any realistic methodology, just dividing the payout by a constant</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tc={5DB02787-356F-42AE-A611-0C93B98D22FF}</author>
    <author>tc={27FB632E-C0A9-491F-961C-0D765CD65309}</author>
  </authors>
  <commentList>
    <comment ref="D7" authorId="0" shapeId="0" xr:uid="{5DB02787-356F-42AE-A611-0C93B98D22FF}">
      <text>
        <t>[Threaded comment]
Your version of Excel allows you to read this threaded comment; however, any edits to it will get removed if the file is opened in a newer version of Excel. Learn more: https://go.microsoft.com/fwlink/?linkid=870924
Comment:
    Typically, there is no reliable, consistent relationship between equity in the portfolio and interest rates. While their value may be affected by changing interest rates, it is not in the same predictable way as fixed income assets. Therefore, duration is assumed to be zero</t>
      </text>
    </comment>
    <comment ref="D10" authorId="1" shapeId="0" xr:uid="{27FB632E-C0A9-491F-961C-0D765CD65309}">
      <text>
        <t>[Threaded comment]
Your version of Excel allows you to read this threaded comment; however, any edits to it will get removed if the file is opened in a newer version of Excel. Learn more: https://go.microsoft.com/fwlink/?linkid=870924
Comment:
    Effective duration of the portfolio is equal to the weighted average effective duration of its components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tc={62215DA8-4B9C-4957-858F-1C8FC3B47DD8}</author>
    <author>tc={D7566110-A99F-4C60-B0A0-FAE20DE1F3FA}</author>
  </authors>
  <commentList>
    <comment ref="C12" authorId="0" shapeId="0" xr:uid="{62215DA8-4B9C-4957-858F-1C8FC3B47DD8}">
      <text>
        <t>[Threaded comment]
Your version of Excel allows you to read this threaded comment; however, any edits to it will get removed if the file is opened in a newer version of Excel. Learn more: https://go.microsoft.com/fwlink/?linkid=870924
Comment:
    NPV of the liability after the yield curve falls</t>
      </text>
    </comment>
    <comment ref="C13" authorId="1" shapeId="0" xr:uid="{D7566110-A99F-4C60-B0A0-FAE20DE1F3FA}">
      <text>
        <t>[Threaded comment]
Your version of Excel allows you to read this threaded comment; however, any edits to it will get removed if the file is opened in a newer version of Excel. Learn more: https://go.microsoft.com/fwlink/?linkid=870924
Comment:
    NPV of Liability after the yield curve rises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tc={AE7B26C7-F8D3-461A-AF0A-6DE3D5BF7678}</author>
    <author>Jason Keyser</author>
    <author>tc={D794E2B8-5C33-43C4-8ECB-C577949FF008}</author>
    <author>tc={163EC5DD-E2F7-43AF-BC0F-0B0839CA0BF8}</author>
    <author>tc={F83652A6-008D-47FB-A836-C4A06A1E54C1}</author>
  </authors>
  <commentList>
    <comment ref="B14" authorId="0" shapeId="0" xr:uid="{AE7B26C7-F8D3-461A-AF0A-6DE3D5BF7678}">
      <text>
        <t>[Threaded comment]
Your version of Excel allows you to read this threaded comment; however, any edits to it will get removed if the file is opened in a newer version of Excel. Learn more: https://go.microsoft.com/fwlink/?linkid=870924
Comment:
    The receiver swaption strike price will always be at or below the swap fixed rate. If it was priced above the swap fixed rate it would be exercisable immediately and therefore make no sense to the swaption writer.</t>
      </text>
    </comment>
    <comment ref="D14" authorId="1" shapeId="0" xr:uid="{BB051D56-F0A9-4F81-9022-8ABD31790866}">
      <text>
        <r>
          <rPr>
            <b/>
            <sz val="9"/>
            <color indexed="81"/>
            <rFont val="Tahoma"/>
            <family val="2"/>
          </rPr>
          <t>Jason Keyser:</t>
        </r>
        <r>
          <rPr>
            <sz val="9"/>
            <color indexed="81"/>
            <rFont val="Tahoma"/>
            <family val="2"/>
          </rPr>
          <t xml:space="preserve">
not sure if these are correct for the swaptions</t>
        </r>
      </text>
    </comment>
    <comment ref="B15" authorId="2" shapeId="0" xr:uid="{D794E2B8-5C33-43C4-8ECB-C577949FF008}">
      <text>
        <t>[Threaded comment]
Your version of Excel allows you to read this threaded comment; however, any edits to it will get removed if the file is opened in a newer version of Excel. Learn more: https://go.microsoft.com/fwlink/?linkid=870924
Comment:
    The payer swaption strike price will always be at or above the swap fixed rate. If it was priced below the swap fixed rate it would be exercisable immediately and therefore make no sense to the swaption writer.</t>
      </text>
    </comment>
    <comment ref="B26" authorId="1" shapeId="0" xr:uid="{34DE7E78-495A-4EAE-AF60-B7751C113F50}">
      <text>
        <r>
          <rPr>
            <b/>
            <sz val="9"/>
            <color indexed="81"/>
            <rFont val="Tahoma"/>
            <family val="2"/>
          </rPr>
          <t>Jason Keyser:</t>
        </r>
        <r>
          <rPr>
            <sz val="9"/>
            <color indexed="81"/>
            <rFont val="Tahoma"/>
            <family val="2"/>
          </rPr>
          <t xml:space="preserve">
assumes these are 1-year swaps and the swap fixed rate equals the treasury yield
rounded to perform an index match on the below table</t>
        </r>
      </text>
    </comment>
    <comment ref="A33" authorId="3" shapeId="0" xr:uid="{163EC5DD-E2F7-43AF-BC0F-0B0839CA0BF8}">
      <text>
        <t>[Threaded comment]
Your version of Excel allows you to read this threaded comment; however, any edits to it will get removed if the file is opened in a newer version of Excel. Learn more: https://go.microsoft.com/fwlink/?linkid=870924
Comment:
    Only applicable in Zero Cost Collar Strategy</t>
      </text>
    </comment>
    <comment ref="A39" authorId="4" shapeId="0" xr:uid="{F83652A6-008D-47FB-A836-C4A06A1E54C1}">
      <text>
        <t>[Threaded comment]
Your version of Excel allows you to read this threaded comment; however, any edits to it will get removed if the file is opened in a newer version of Excel. Learn more: https://go.microsoft.com/fwlink/?linkid=870924
Comment:
    Only applicable in Zero Cost Collar Strategy</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Jason Keyser</author>
  </authors>
  <commentList>
    <comment ref="B14" authorId="0" shapeId="0" xr:uid="{68EBC638-FD5C-435E-9FA3-B60748586ABF}">
      <text>
        <r>
          <rPr>
            <b/>
            <sz val="9"/>
            <color indexed="81"/>
            <rFont val="Tahoma"/>
            <family val="2"/>
          </rPr>
          <t>Jason Keyser:</t>
        </r>
        <r>
          <rPr>
            <sz val="9"/>
            <color indexed="81"/>
            <rFont val="Tahoma"/>
            <family val="2"/>
          </rPr>
          <t xml:space="preserve">
2 hours estimate is taken from information on the right.</t>
        </r>
      </text>
    </comment>
    <comment ref="B51" authorId="0" shapeId="0" xr:uid="{9765E3B6-60AE-4D19-8E90-5BC7824A57F1}">
      <text>
        <r>
          <rPr>
            <b/>
            <sz val="9"/>
            <color indexed="81"/>
            <rFont val="Tahoma"/>
            <family val="2"/>
          </rPr>
          <t>Jason Keyser:</t>
        </r>
        <r>
          <rPr>
            <sz val="9"/>
            <color indexed="81"/>
            <rFont val="Tahoma"/>
            <family val="2"/>
          </rPr>
          <t xml:space="preserve">
Price taken is from the median of this list
Source: https://www.choosetexaspower.org/electricity-rates/dallas/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tc={7CA6102B-F566-4E63-BB63-96F0EDEA0A7B}</author>
    <author>tc={88B1AEC9-2C6C-4F35-AC3E-66842B1CABB9}</author>
    <author>tc={BFDC1031-F9EF-4D9E-ABB5-63626A7BC231}</author>
    <author>tc={16ED2727-E636-4098-B93A-6871888C4176}</author>
  </authors>
  <commentList>
    <comment ref="E7" authorId="0" shapeId="0" xr:uid="{7CA6102B-F566-4E63-BB63-96F0EDEA0A7B}">
      <text>
        <t>[Threaded comment]
Your version of Excel allows you to read this threaded comment; however, any edits to it will get removed if the file is opened in a newer version of Excel. Learn more: https://go.microsoft.com/fwlink/?linkid=870924
Comment:
    24 extra for Mech Plant</t>
      </text>
    </comment>
    <comment ref="E8" authorId="1" shapeId="0" xr:uid="{88B1AEC9-2C6C-4F35-AC3E-66842B1CABB9}">
      <text>
        <t>[Threaded comment]
Your version of Excel allows you to read this threaded comment; however, any edits to it will get removed if the file is opened in a newer version of Excel. Learn more: https://go.microsoft.com/fwlink/?linkid=870924
Comment:
    20 hrs of full load testing per colo</t>
      </text>
    </comment>
    <comment ref="E21" authorId="2" shapeId="0" xr:uid="{BFDC1031-F9EF-4D9E-ABB5-63626A7BC231}">
      <text>
        <t>[Threaded comment]
Your version of Excel allows you to read this threaded comment; however, any edits to it will get removed if the file is opened in a newer version of Excel. Learn more: https://go.microsoft.com/fwlink/?linkid=870924
Comment:
    3 Hours for DECS</t>
      </text>
    </comment>
    <comment ref="E22" authorId="3" shapeId="0" xr:uid="{16ED2727-E636-4098-B93A-6871888C4176}">
      <text>
        <t>[Threaded comment]
Your version of Excel allows you to read this threaded comment; however, any edits to it will get removed if the file is opened in a newer version of Excel. Learn more: https://go.microsoft.com/fwlink/?linkid=870924
Comment:
    6 hours for DECs</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tc={F8968FE6-273C-4F28-BC3C-60D1ADC42E2B}</author>
    <author>tc={1098C7E7-9E50-429C-B0C8-884111AC3526}</author>
  </authors>
  <commentList>
    <comment ref="H12" authorId="0" shapeId="0" xr:uid="{F8968FE6-273C-4F28-BC3C-60D1ADC42E2B}">
      <text>
        <t>[Threaded comment]
Your version of Excel allows you to read this threaded comment; however, any edits to it will get removed if the file is opened in a newer version of Excel. Learn more: https://go.microsoft.com/fwlink/?linkid=870924
Comment:
    Price per month</t>
      </text>
    </comment>
    <comment ref="J12" authorId="1" shapeId="0" xr:uid="{1098C7E7-9E50-429C-B0C8-884111AC3526}">
      <text>
        <t>[Threaded comment]
Your version of Excel allows you to read this threaded comment; however, any edits to it will get removed if the file is opened in a newer version of Excel. Learn more: https://go.microsoft.com/fwlink/?linkid=870924
Comment:
    400 kw load banks, 3000 kw loadbanks are ignored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<sst xmlns="http://schemas.openxmlformats.org/spreadsheetml/2006/main" count="1062" uniqueCount="621">
  <si>
    <t>Purchase Price</t>
  </si>
  <si>
    <t>Maintenance</t>
  </si>
  <si>
    <t>Storage</t>
  </si>
  <si>
    <t>Shipping</t>
  </si>
  <si>
    <t>Cost of Ownership</t>
  </si>
  <si>
    <t>Price</t>
  </si>
  <si>
    <t>Accessories</t>
  </si>
  <si>
    <t>Total</t>
  </si>
  <si>
    <t>Location</t>
  </si>
  <si>
    <t>Qty</t>
  </si>
  <si>
    <t>Key Assumptions</t>
  </si>
  <si>
    <t>3000 KW LB</t>
  </si>
  <si>
    <t>Type</t>
  </si>
  <si>
    <t>400 Kw LB</t>
  </si>
  <si>
    <t>Initial shipping to storage</t>
  </si>
  <si>
    <t>Sq ft</t>
  </si>
  <si>
    <t>San Antonio</t>
  </si>
  <si>
    <t>Dallas</t>
  </si>
  <si>
    <t>Ashburn</t>
  </si>
  <si>
    <t>Amount</t>
  </si>
  <si>
    <t>4/0 Camlock Cable 50'</t>
  </si>
  <si>
    <t>Delivery Charge</t>
  </si>
  <si>
    <t>General Assumptions</t>
  </si>
  <si>
    <t>Total Cost</t>
  </si>
  <si>
    <t>Cash Flow Analysis</t>
  </si>
  <si>
    <t>NPV</t>
  </si>
  <si>
    <t>IRR</t>
  </si>
  <si>
    <t>Year</t>
  </si>
  <si>
    <t>LB Dimensions</t>
  </si>
  <si>
    <t>Sq Ft</t>
  </si>
  <si>
    <t>Cu ft</t>
  </si>
  <si>
    <t>Height</t>
  </si>
  <si>
    <t>Average Price/Load Bank</t>
  </si>
  <si>
    <t>Average Price/sqft</t>
  </si>
  <si>
    <t>Best Unit Dimensions</t>
  </si>
  <si>
    <t>Length (ft)</t>
  </si>
  <si>
    <t>400 kw load bank</t>
  </si>
  <si>
    <t>3000 kw load bank</t>
  </si>
  <si>
    <t>Width (ft)</t>
  </si>
  <si>
    <t>Best Options</t>
  </si>
  <si>
    <t>Average price/sqft</t>
  </si>
  <si>
    <t>Avg Price/sqft</t>
  </si>
  <si>
    <t>Cubesmart</t>
  </si>
  <si>
    <t>Public Storage</t>
  </si>
  <si>
    <t>10 x 15, 20 x 30, or 10 x 7.5</t>
  </si>
  <si>
    <t>not 5x5 or 10 x7's</t>
  </si>
  <si>
    <t>Any size</t>
  </si>
  <si>
    <t>Company</t>
  </si>
  <si>
    <t>Climate Controlled?</t>
  </si>
  <si>
    <t>Height (ft)</t>
  </si>
  <si>
    <t>price</t>
  </si>
  <si>
    <t>per sq ft</t>
  </si>
  <si>
    <t>Loadbanks per space</t>
  </si>
  <si>
    <t>Price/Load bank</t>
  </si>
  <si>
    <t>Link</t>
  </si>
  <si>
    <t>5x5 or 10 x 7?</t>
  </si>
  <si>
    <t>Yes</t>
  </si>
  <si>
    <t>https://www.publicstorage.com/self-storage-search?location=dallas</t>
  </si>
  <si>
    <t>CubeSmart</t>
  </si>
  <si>
    <t>https://www.cubesmart.com/texas-self-storage/san-antonio-self-storage/climate-controlled/4225.html</t>
  </si>
  <si>
    <t>https://www.cubesmart.com/texas-self-storage/dallas-self-storage/climate-controlled/1379.html</t>
  </si>
  <si>
    <t>https://www.publicstorage.com/self-storage-tx-san-antonio/620?sp=620|9|San%20Antonio|29.42412|-98.49363|0|1|1</t>
  </si>
  <si>
    <t>https://www.publicstorage.com/self-storage-search?location=ashburn</t>
  </si>
  <si>
    <t>https://www.cubesmart.com/virginia-self-storage/ashburn-self-storage/3854.html</t>
  </si>
  <si>
    <t>20' Load Cable Set</t>
  </si>
  <si>
    <t>30' Load Cable Set</t>
  </si>
  <si>
    <t>Specs</t>
  </si>
  <si>
    <t>tax</t>
  </si>
  <si>
    <t>Rental Income</t>
  </si>
  <si>
    <t>Labor</t>
  </si>
  <si>
    <t>1 Year Visualized</t>
  </si>
  <si>
    <t>400 Kw LBs</t>
  </si>
  <si>
    <t>Size of Fleet</t>
  </si>
  <si>
    <t>Week Number</t>
  </si>
  <si>
    <t>On Big Job</t>
  </si>
  <si>
    <t>On Small Job</t>
  </si>
  <si>
    <t>Being Serviced</t>
  </si>
  <si>
    <t>LBC Remote</t>
  </si>
  <si>
    <t>Rental Assumptions</t>
  </si>
  <si>
    <t>400 Kw 4 wk rate</t>
  </si>
  <si>
    <t>3000 Kw 4 wk rate</t>
  </si>
  <si>
    <t>Budget</t>
  </si>
  <si>
    <t>Sum of LBs used</t>
  </si>
  <si>
    <t>400K rented</t>
  </si>
  <si>
    <t>3000Kw rented</t>
  </si>
  <si>
    <t>LBs*Weeks</t>
  </si>
  <si>
    <t>SUM All</t>
  </si>
  <si>
    <t>Sum Rented</t>
  </si>
  <si>
    <t>Total fleet size</t>
  </si>
  <si>
    <t>Revenue</t>
  </si>
  <si>
    <t>Gross profit</t>
  </si>
  <si>
    <t>EBITDA</t>
  </si>
  <si>
    <t>Investment Effect on Income Statement</t>
  </si>
  <si>
    <t>Construction Revenue</t>
  </si>
  <si>
    <t>Cost of Goods Sold</t>
  </si>
  <si>
    <t>Repairs and Maintenance Expense</t>
  </si>
  <si>
    <t>Depreciation Expense</t>
  </si>
  <si>
    <t>EBIT</t>
  </si>
  <si>
    <t>Depreciation Method</t>
  </si>
  <si>
    <t>SL</t>
  </si>
  <si>
    <t>Depreciation</t>
  </si>
  <si>
    <t>Useful Life</t>
  </si>
  <si>
    <t>Salvage Value</t>
  </si>
  <si>
    <t>Growth Rates</t>
  </si>
  <si>
    <t>Rental Income Rate</t>
  </si>
  <si>
    <t>Shipping Rate</t>
  </si>
  <si>
    <t>Storage Expenses</t>
  </si>
  <si>
    <t>Storage Rate</t>
  </si>
  <si>
    <t>Present Value</t>
  </si>
  <si>
    <t>Cash Flow</t>
  </si>
  <si>
    <t>3000 KW Accessories</t>
  </si>
  <si>
    <t>Needed?</t>
  </si>
  <si>
    <t>What we already own</t>
  </si>
  <si>
    <t>Accesory</t>
  </si>
  <si>
    <t>Load Bank Test Tap Boxes</t>
  </si>
  <si>
    <t>Condition</t>
  </si>
  <si>
    <t>ASCO Offering</t>
  </si>
  <si>
    <t>400 KW Accessories</t>
  </si>
  <si>
    <t>?</t>
  </si>
  <si>
    <t>Included with Purchase</t>
  </si>
  <si>
    <t>Sigma 2 Digital Control Module</t>
  </si>
  <si>
    <t>Notes</t>
  </si>
  <si>
    <t>Base platform includes control module and interface panel to connect either to PC and IHT. NOTE: IHT and interconnect cables are supplied in a kit, sold separately. Review Kit Descriptions below for any quoted kits.</t>
  </si>
  <si>
    <t>Trailer</t>
  </si>
  <si>
    <t>10,000 Pound Gross Vehicle Weight Capacity</t>
  </si>
  <si>
    <t>Trailer Features: Mating vehicle connectors, Electric Brakes, 3" I.D. adjustable lunnette eye hitch, 1 front tounge jack, 2 rear stabalizer jacks, safety chains and hooks</t>
  </si>
  <si>
    <t>Electric Load Cabel Reel</t>
  </si>
  <si>
    <t>12 VDC or 120 VAC</t>
  </si>
  <si>
    <t>Each reel is capable of storing approximately 1000 feet of # 4/0 AWG customer furnished load cable. Reel(s) will be installed on the trailer.</t>
  </si>
  <si>
    <t>Locking Cable Reel Security Cover</t>
  </si>
  <si>
    <t>Sold Seperately</t>
  </si>
  <si>
    <t>Sigma 2 Intelligent Hand-Held Terminal &amp; Control Interconnection Cable</t>
  </si>
  <si>
    <t>Unit Price</t>
  </si>
  <si>
    <t>10 meter Cable</t>
  </si>
  <si>
    <t>The IHT provides control and monitoring of the load bank. Connected to the load bank via interconnection cable to interface panel.</t>
  </si>
  <si>
    <t>Warranty</t>
  </si>
  <si>
    <t>No</t>
  </si>
  <si>
    <t>Shipment Time (Wks)</t>
  </si>
  <si>
    <t>Hardware Interface Device</t>
  </si>
  <si>
    <t>Device Connects Sigma 2 to Sigma LT, Sigma LT and Sigma 2 to Modbus Ethernet. Latest firmware and guide available on website.</t>
  </si>
  <si>
    <t>Nothing</t>
  </si>
  <si>
    <t>Sigma LT Hand-Held Controller</t>
  </si>
  <si>
    <t>Sigma LT Communicatio nInterface Cable</t>
  </si>
  <si>
    <t>10 meter cable</t>
  </si>
  <si>
    <t>Connects the load bank to the SIGMA LT Hand-Held Touch Screen Controller</t>
  </si>
  <si>
    <t>Includes 13 Cables with quick disconnect receptacles on one end and 1/2" ring lug on other. Set includes ground cable.</t>
  </si>
  <si>
    <t>Cable Reels (Manual or Electric)</t>
  </si>
  <si>
    <t>Cable Reel Security Cover(s)</t>
  </si>
  <si>
    <t>Lockable Storage Box</t>
  </si>
  <si>
    <t>SIGMA 2 Digital Controls</t>
  </si>
  <si>
    <t>Spare Tire</t>
  </si>
  <si>
    <t>Solar Battery Charger</t>
  </si>
  <si>
    <t>Hydraulic Brakes</t>
  </si>
  <si>
    <t>2 5/16 Ball Hitch (3" Pintle Standard)</t>
  </si>
  <si>
    <t>Custom Powder Coat Paint Finish</t>
  </si>
  <si>
    <t>Optional Accessories for 400 KW Unit</t>
  </si>
  <si>
    <t>Accessory</t>
  </si>
  <si>
    <t>Load Bank Direct Offerings</t>
  </si>
  <si>
    <t>Digital Power Meter</t>
  </si>
  <si>
    <t>Fully Equipped, 3-phase Digital Power Metering System that measures a standard range of 16 load parameters. Includes RS485 (Modbus protocol) for remote reading - compatible with PC, PLC, and data loggers.</t>
  </si>
  <si>
    <t>HHC can be connected and positioned up to 5000 feet from test area over a single RS-485 cable.</t>
  </si>
  <si>
    <t>Handheld Digital Controller (HHC): Remote HHC Digital Controller with Backlit liquid crystal display offers superior viewing for both bright and dim light conditions.</t>
  </si>
  <si>
    <t>LBC RCBLE 50</t>
  </si>
  <si>
    <t>50 foot (15 meter) long extension cable for connnecting load bank to HHC</t>
  </si>
  <si>
    <t>50Ft Cable Set</t>
  </si>
  <si>
    <t>Qty. 6 of 4/0 AWG load cables (Qty. 2 per phase) and Qty. 1 of 4/0 AWG ground cable, each 50’ long, equipped with Cam-Lok power connector ends for quick connectivity (M/F). Cable’s Cam-Lok connectors are color-coded.</t>
  </si>
  <si>
    <t>Enclosed Cable Reels</t>
  </si>
  <si>
    <t>50 Ft Cable Set</t>
  </si>
  <si>
    <t>Motorized Load Cable Reel(s) mounted to the trailer.  Each reel shall have the capability of storing 4/0 power cable.  Cable reels shall be enclosed with lockable door.</t>
  </si>
  <si>
    <t>NOMINAL WRAP CAPACITY, PER CABLE REEL: 1100’</t>
  </si>
  <si>
    <t>Requires a communication interface cable to connect to load bank. Up to 25 SIGMALT load banks can be strategically placed in a Data Centre hall and controlled by a single hand-held.</t>
  </si>
  <si>
    <t>4.3" color touch screen. Load can be applied proportionally to all load banks in the network to provide a uniform temperature rise or alternatively, load can be adjusted on specific load banks.</t>
  </si>
  <si>
    <t xml:space="preserve">Qty. 36 of 4/0 AWG load cables (12 per phase) and 4 of 4/0 AWG ground cable, each 50’ long, equipped with Cam-Lok power connector ends for quick connectivity (M/F). Cable’s Cam-Lok connectors are color-coded for safe and easy phase identification. </t>
  </si>
  <si>
    <t>Construction Savings</t>
  </si>
  <si>
    <t>Asset Purchase</t>
  </si>
  <si>
    <t>-</t>
  </si>
  <si>
    <t>Equipment Rental</t>
  </si>
  <si>
    <t>Other</t>
  </si>
  <si>
    <t>Historicals</t>
  </si>
  <si>
    <t>Forecasts</t>
  </si>
  <si>
    <t>Year of Investment Life</t>
  </si>
  <si>
    <t>Freight/Trucking</t>
  </si>
  <si>
    <t>Construction</t>
  </si>
  <si>
    <t>Operating Expenses</t>
  </si>
  <si>
    <t>Repairs and Maintenance</t>
  </si>
  <si>
    <t>Other Income</t>
  </si>
  <si>
    <t>Amortization</t>
  </si>
  <si>
    <t>GP Margin</t>
  </si>
  <si>
    <t>EBITDA Margin</t>
  </si>
  <si>
    <t>EBIT Margin</t>
  </si>
  <si>
    <t>EBIT/Interest</t>
  </si>
  <si>
    <t>Interest Expense</t>
  </si>
  <si>
    <t>In Storage</t>
  </si>
  <si>
    <t>Sum all besides storage</t>
  </si>
  <si>
    <t>Sum Besides Rented + Storage</t>
  </si>
  <si>
    <t>3000 Kw LBs</t>
  </si>
  <si>
    <t>State of the World</t>
  </si>
  <si>
    <t>% rented when available</t>
  </si>
  <si>
    <t>Rental Income year 1</t>
  </si>
  <si>
    <t>Rental Prices</t>
  </si>
  <si>
    <t>Invariant Assumptions</t>
  </si>
  <si>
    <t>LB Ann. Expense</t>
  </si>
  <si>
    <t>Revenue Growth</t>
  </si>
  <si>
    <t>Key Ratios</t>
  </si>
  <si>
    <t>cell</t>
  </si>
  <si>
    <t>lastmodifed</t>
  </si>
  <si>
    <t>Method</t>
  </si>
  <si>
    <t>Straight Line</t>
  </si>
  <si>
    <t>Impairment Charge</t>
  </si>
  <si>
    <t>Realized Useful Life</t>
  </si>
  <si>
    <t>Assumed Useful life</t>
  </si>
  <si>
    <t>400K Shipping</t>
  </si>
  <si>
    <t>3000K Shipping</t>
  </si>
  <si>
    <t># of 66 Trips</t>
  </si>
  <si>
    <t># of 4 Trips</t>
  </si>
  <si>
    <t># of ~ 50 trips</t>
  </si>
  <si>
    <t>Impairment</t>
  </si>
  <si>
    <t>State</t>
  </si>
  <si>
    <t>Most Likely Case</t>
  </si>
  <si>
    <t>Capitalizable Costs</t>
  </si>
  <si>
    <t>Tax Shield</t>
  </si>
  <si>
    <t>Deprec. Method</t>
  </si>
  <si>
    <t>Applicable MACRS %</t>
  </si>
  <si>
    <t>Rate: rt</t>
  </si>
  <si>
    <t>Year t</t>
  </si>
  <si>
    <t>3-year</t>
  </si>
  <si>
    <t>5-year</t>
  </si>
  <si>
    <t>7-Year</t>
  </si>
  <si>
    <t>Tax Savings</t>
  </si>
  <si>
    <t>Tax Rate</t>
  </si>
  <si>
    <t>LB Income</t>
  </si>
  <si>
    <t>Deliv. + Pickup</t>
  </si>
  <si>
    <t>400 kw delivery &amp; pickup charges</t>
  </si>
  <si>
    <t>3000 kw delivery &amp; pickup charges</t>
  </si>
  <si>
    <t>Total Income</t>
  </si>
  <si>
    <t>Spares Sent</t>
  </si>
  <si>
    <t>% of fleet demanded</t>
  </si>
  <si>
    <t>Prorated Tax</t>
  </si>
  <si>
    <t>PV of Tax Savings</t>
  </si>
  <si>
    <t>Internal Rental Charge</t>
  </si>
  <si>
    <t>Gross Profit</t>
  </si>
  <si>
    <t>SG&amp;A Growth</t>
  </si>
  <si>
    <t>Data Center Jobs per Year</t>
  </si>
  <si>
    <t>Fit-Out Jobs per Year</t>
  </si>
  <si>
    <t>LDBK REMOTE, TABLET (LBC-HHS1)</t>
  </si>
  <si>
    <t>MASTER COMPUTER</t>
  </si>
  <si>
    <t>8-PORT ETHERNET SWITCH</t>
  </si>
  <si>
    <t>Cable 4/0 AWG 400 Amp 50' CAM</t>
  </si>
  <si>
    <t>50' Network Cables</t>
  </si>
  <si>
    <t>CAT6 CABLES</t>
  </si>
  <si>
    <t>CABLE, MASTER SLAVE 50FT (LBC-MSC-50)</t>
  </si>
  <si>
    <t>ETHERNET POD (LBC-485-ETHNT)</t>
  </si>
  <si>
    <t>REMOTE CABLE 50FT
(LBC-RCBLE-50)</t>
  </si>
  <si>
    <t>3000 kw LBs</t>
  </si>
  <si>
    <t>400 kw Lbs</t>
  </si>
  <si>
    <t>Year 1 Charge</t>
  </si>
  <si>
    <t>LB Cost</t>
  </si>
  <si>
    <t>distance</t>
  </si>
  <si>
    <t>Total Weeks Needed</t>
  </si>
  <si>
    <t>Feasibility of Solution</t>
  </si>
  <si>
    <t>Labor Category</t>
  </si>
  <si>
    <t>No. Staff</t>
  </si>
  <si>
    <t>Total Hours</t>
  </si>
  <si>
    <t>Total Hrs</t>
  </si>
  <si>
    <t>Hourly Rate</t>
  </si>
  <si>
    <t>OTS - Controls Tech</t>
  </si>
  <si>
    <t># LBs</t>
  </si>
  <si>
    <t>Hours Required to Service 1 LB</t>
  </si>
  <si>
    <t>Load Bank Maintenance Labor Portion</t>
  </si>
  <si>
    <t>Load Bank Maintenance Parts Portion</t>
  </si>
  <si>
    <t>% of LBs which need new parts</t>
  </si>
  <si>
    <t>Cost of new parts as % of purchase price</t>
  </si>
  <si>
    <t># of LBs</t>
  </si>
  <si>
    <t># of total LBs</t>
  </si>
  <si>
    <t>400 Kw purchase price</t>
  </si>
  <si>
    <t>Cost of new parts in $ terms</t>
  </si>
  <si>
    <t>New Parts Cost</t>
  </si>
  <si>
    <t># of LBs needing parts replaced</t>
  </si>
  <si>
    <t>Total Parts Cost</t>
  </si>
  <si>
    <t>Total Labor Cost</t>
  </si>
  <si>
    <t>Total Labor, Parts, &amp; Electricity</t>
  </si>
  <si>
    <t>% of full load</t>
  </si>
  <si>
    <t>Length of Test (hrs)</t>
  </si>
  <si>
    <t>Kws</t>
  </si>
  <si>
    <t>Kw at full load</t>
  </si>
  <si>
    <t>Kw per hour rate</t>
  </si>
  <si>
    <t>Cost per 1 LB</t>
  </si>
  <si>
    <t>Total Electricity Cost</t>
  </si>
  <si>
    <t>KW per Hour usage</t>
  </si>
  <si>
    <t>Load Bank Maintenance Electricity Cost Portion</t>
  </si>
  <si>
    <t>Rate from C09 Estimate</t>
  </si>
  <si>
    <t>type</t>
  </si>
  <si>
    <t>4 week rate</t>
  </si>
  <si>
    <t>total cost</t>
  </si>
  <si>
    <t>600 kw</t>
  </si>
  <si>
    <t>400 kw</t>
  </si>
  <si>
    <t>total</t>
  </si>
  <si>
    <t>Spare Load Banks</t>
  </si>
  <si>
    <t>total acc</t>
  </si>
  <si>
    <t>subtotal</t>
  </si>
  <si>
    <t>pickup charge</t>
  </si>
  <si>
    <t>Weeks Extended</t>
  </si>
  <si>
    <t>Accessories Cost</t>
  </si>
  <si>
    <t>Delivery Pickup Cost</t>
  </si>
  <si>
    <t>Base Cost</t>
  </si>
  <si>
    <t>More accessories ordered from Sunbelt Rentals</t>
  </si>
  <si>
    <t>qty</t>
  </si>
  <si>
    <t>250 Amp Taps</t>
  </si>
  <si>
    <t>1 week rate</t>
  </si>
  <si>
    <t>weeks rented</t>
  </si>
  <si>
    <t>Delivery</t>
  </si>
  <si>
    <t>Pickup</t>
  </si>
  <si>
    <t>sub</t>
  </si>
  <si>
    <t>4/0 x 50' CABLES</t>
  </si>
  <si>
    <t>Satisfies Budget?</t>
  </si>
  <si>
    <t>Satisfies CX time?</t>
  </si>
  <si>
    <t>Satisfies Sq ft?</t>
  </si>
  <si>
    <t>Lower Bound</t>
  </si>
  <si>
    <t>Upper Bound</t>
  </si>
  <si>
    <t>All Dollar Amounts in Thousands</t>
  </si>
  <si>
    <t>Bonus</t>
  </si>
  <si>
    <t>Incremental Investment Effect on Income Statement</t>
  </si>
  <si>
    <t>Intercompany Rental</t>
  </si>
  <si>
    <t>Rental Revenue</t>
  </si>
  <si>
    <t>Grand Total</t>
  </si>
  <si>
    <t>400 KWs</t>
  </si>
  <si>
    <t>3000 KWs</t>
  </si>
  <si>
    <t>Frequency of Data Center Sizes</t>
  </si>
  <si>
    <t>Mega Watts</t>
  </si>
  <si>
    <t>% of Whole</t>
  </si>
  <si>
    <t>Source For Data</t>
  </si>
  <si>
    <t>https://www.datacente.rs/</t>
  </si>
  <si>
    <t>% of all &lt; 25 Mw</t>
  </si>
  <si>
    <t>Rental Price</t>
  </si>
  <si>
    <t>Cost of Debt</t>
  </si>
  <si>
    <t>Copper</t>
  </si>
  <si>
    <t>Rental Margin Yr 1</t>
  </si>
  <si>
    <t>Cost</t>
  </si>
  <si>
    <t>Profit</t>
  </si>
  <si>
    <t>Data Center Jobs Yearly</t>
  </si>
  <si>
    <t>Fit-Out Jobs Yearly</t>
  </si>
  <si>
    <t>All Amounts in Thousands</t>
  </si>
  <si>
    <t>% of fleet rented out when available</t>
  </si>
  <si>
    <t>Purchase Date</t>
  </si>
  <si>
    <t>Lead Time (wks)</t>
  </si>
  <si>
    <t>Investment Timing</t>
  </si>
  <si>
    <t>Date of Arrival</t>
  </si>
  <si>
    <t>Year End</t>
  </si>
  <si>
    <t>% of CFs in Yr 1</t>
  </si>
  <si>
    <t>Employee Wages</t>
  </si>
  <si>
    <t>Rental Margin Full Yr. 1</t>
  </si>
  <si>
    <t>Wages</t>
  </si>
  <si>
    <t>SAT 46</t>
  </si>
  <si>
    <t>CYS08</t>
  </si>
  <si>
    <t>Freight</t>
  </si>
  <si>
    <t>Avg. Growth Rates</t>
  </si>
  <si>
    <t>Automatic Cable Roller</t>
  </si>
  <si>
    <t>Shipping Crate</t>
  </si>
  <si>
    <t>CX Level</t>
  </si>
  <si>
    <t>Hours</t>
  </si>
  <si>
    <t>Cells</t>
  </si>
  <si>
    <t>Colos</t>
  </si>
  <si>
    <t>Base Hours</t>
  </si>
  <si>
    <t>Additional</t>
  </si>
  <si>
    <t>SAT 46 &amp; CYS08</t>
  </si>
  <si>
    <t>400/600 KW</t>
  </si>
  <si>
    <t>2500 KW</t>
  </si>
  <si>
    <t>LB Type</t>
  </si>
  <si>
    <t>Burn Hours/ LB</t>
  </si>
  <si>
    <t>Init. Shipping to Storage</t>
  </si>
  <si>
    <t>Duration Match with a Single Liability</t>
  </si>
  <si>
    <t>Yield Curve</t>
  </si>
  <si>
    <t>% change</t>
  </si>
  <si>
    <t>Parallel Shift Up</t>
  </si>
  <si>
    <t>Parallel Shift Down</t>
  </si>
  <si>
    <t>Steepening Twist</t>
  </si>
  <si>
    <t>Flattening Twist</t>
  </si>
  <si>
    <t>Positive Butterfly Twist</t>
  </si>
  <si>
    <t>Negative butterfly Twist</t>
  </si>
  <si>
    <t>Parrallel Shift Up</t>
  </si>
  <si>
    <t>Parrallel Shift Down</t>
  </si>
  <si>
    <t>Shifts</t>
  </si>
  <si>
    <t>Original Curve Yield</t>
  </si>
  <si>
    <t>Negative Butterfly Twist</t>
  </si>
  <si>
    <t>Maturity (Yrs)</t>
  </si>
  <si>
    <t>Effects on Portfolio</t>
  </si>
  <si>
    <t>Bond 1</t>
  </si>
  <si>
    <t>Bond 2</t>
  </si>
  <si>
    <t>Liability</t>
  </si>
  <si>
    <t>Par Value</t>
  </si>
  <si>
    <t>Zero Coupon</t>
  </si>
  <si>
    <t>Immunizing Portfolio/Liability</t>
  </si>
  <si>
    <t>Market Price</t>
  </si>
  <si>
    <t>New Curve YTM</t>
  </si>
  <si>
    <t>Portfolio Summary Stats</t>
  </si>
  <si>
    <t>Assets</t>
  </si>
  <si>
    <t>Liabilities</t>
  </si>
  <si>
    <t>Macauley Duration</t>
  </si>
  <si>
    <t>Market Value</t>
  </si>
  <si>
    <t>Convexity</t>
  </si>
  <si>
    <t>PV of Prinicpal</t>
  </si>
  <si>
    <t>Weight</t>
  </si>
  <si>
    <t>Market Value w/IRR</t>
  </si>
  <si>
    <t>Difference to MV</t>
  </si>
  <si>
    <t>Par Value (Owned)</t>
  </si>
  <si>
    <t># Owned/Outstanding</t>
  </si>
  <si>
    <t>Market Price (Owned)</t>
  </si>
  <si>
    <t>Bond Values</t>
  </si>
  <si>
    <t>Duration Matched</t>
  </si>
  <si>
    <t>Suplus/(Deficit)</t>
  </si>
  <si>
    <t>Surplus Maintained</t>
  </si>
  <si>
    <t>Model Objectives</t>
  </si>
  <si>
    <t>The purpose of this model is to deepen my own understanding and teach others about the concept of Balance Sheet Immunization through the use of interactive modules with explanations</t>
  </si>
  <si>
    <t>First Half of Workbook</t>
  </si>
  <si>
    <t>Questions</t>
  </si>
  <si>
    <t>This page contains questions about BSI that I've encountered in my modelling</t>
  </si>
  <si>
    <t>The second half will view BSI from a real world perspective - discussing practical issues of immunizing a real company's balance sheets</t>
  </si>
  <si>
    <t>How is the duration determined for a liability set of cashflows (such as a life insurance company?)</t>
  </si>
  <si>
    <t>guess:</t>
  </si>
  <si>
    <t>The first half of this workbook will review fundamental Fixed Income concepts and</t>
  </si>
  <si>
    <t>and the subleties between the use of each metrics.</t>
  </si>
  <si>
    <t xml:space="preserve">I take a two pronged approach to learning about Balance Sheet Immunization. The first half of this workbook will view BSI from an academic finance perspective. </t>
  </si>
  <si>
    <t xml:space="preserve">discuss the point of balance sheet immunization, and demonstrate in a simplistic model </t>
  </si>
  <si>
    <t>how an immunizing portfolio can be constructed with debt instruments.</t>
  </si>
  <si>
    <t>Some topics that will be demonstrated include:</t>
  </si>
  <si>
    <t>The different calculation methodologies of duration and convexity metrics,</t>
  </si>
  <si>
    <t>The impacts of different yield curve shifts on the effectiveness of the</t>
  </si>
  <si>
    <t>constructed immunizing portfolio.</t>
  </si>
  <si>
    <t>use zero coupon bonds with similar maturities as proxies</t>
  </si>
  <si>
    <t>Prepared by - Jason Keyser, CFA</t>
  </si>
  <si>
    <t>BPV of Plan Assets</t>
  </si>
  <si>
    <t>BPV of Liabilities</t>
  </si>
  <si>
    <t>Duration Gap</t>
  </si>
  <si>
    <t>Hedging a Duration Gap with Different Instruments</t>
  </si>
  <si>
    <t>Receive Fixed</t>
  </si>
  <si>
    <t>Available Swaps</t>
  </si>
  <si>
    <t>Swap</t>
  </si>
  <si>
    <t>Strike Price</t>
  </si>
  <si>
    <t>Premium Cost</t>
  </si>
  <si>
    <t>Reciever Swaption</t>
  </si>
  <si>
    <t>BPV per $1 NP</t>
  </si>
  <si>
    <t>Payer Swaption</t>
  </si>
  <si>
    <t>Strategies</t>
  </si>
  <si>
    <t>Received Fixed</t>
  </si>
  <si>
    <t>Buy Receiver Swaption</t>
  </si>
  <si>
    <t>Zero-Cost Collar</t>
  </si>
  <si>
    <t>RF Swap Value</t>
  </si>
  <si>
    <t>Plan Assets Change</t>
  </si>
  <si>
    <t>Liabilities Change</t>
  </si>
  <si>
    <t>Notional Principal</t>
  </si>
  <si>
    <t>R Swaption Value</t>
  </si>
  <si>
    <t>Payer Swaption Value</t>
  </si>
  <si>
    <t>Zero Cost Collar</t>
  </si>
  <si>
    <t>Swap Fixed Rate</t>
  </si>
  <si>
    <t>Future SFR Rate</t>
  </si>
  <si>
    <t>Weight * Time</t>
  </si>
  <si>
    <t>Variance</t>
  </si>
  <si>
    <t>Portfolio Dispersion</t>
  </si>
  <si>
    <t>Weight * Variance</t>
  </si>
  <si>
    <t>Convexity (Disperion)</t>
  </si>
  <si>
    <t>t * (t+1) * w</t>
  </si>
  <si>
    <t>How do banks utilize immunization when there is an inherant imbalance of maturities?</t>
  </si>
  <si>
    <t>(deposits = short term maturity but bank loans are longer term?)</t>
  </si>
  <si>
    <t>wouldn't immunizing make their profitability zero?</t>
  </si>
  <si>
    <t>If we model a life insurance company we need?</t>
  </si>
  <si>
    <t>plan participants</t>
  </si>
  <si>
    <t>ages</t>
  </si>
  <si>
    <t>genders</t>
  </si>
  <si>
    <t>morality table</t>
  </si>
  <si>
    <t>size of plans</t>
  </si>
  <si>
    <t>discount rate</t>
  </si>
  <si>
    <t>Model Outputs</t>
  </si>
  <si>
    <t>Model Inputs</t>
  </si>
  <si>
    <t>bpv of Liabilities</t>
  </si>
  <si>
    <t>bpv of assets</t>
  </si>
  <si>
    <t>current assets in place</t>
  </si>
  <si>
    <t>what assets should be bought to match the duration?</t>
  </si>
  <si>
    <t>how would the portfolio perform under different interest rate paths?</t>
  </si>
  <si>
    <t>estimate of the effective duration of liabilities</t>
  </si>
  <si>
    <t>model premiums coming in and being invested</t>
  </si>
  <si>
    <t>age</t>
  </si>
  <si>
    <t>Male</t>
  </si>
  <si>
    <t>Female</t>
  </si>
  <si>
    <t>Lives</t>
  </si>
  <si>
    <t>Death Probability</t>
  </si>
  <si>
    <t>Life Expectancy</t>
  </si>
  <si>
    <t>Mortality Table taken from US Social Security Program</t>
  </si>
  <si>
    <t>https://www.ssa.gov/oact/STATS/table4c6.html</t>
  </si>
  <si>
    <t>Plan Participant ID</t>
  </si>
  <si>
    <t>Age</t>
  </si>
  <si>
    <t>Gender</t>
  </si>
  <si>
    <t>Plan Type</t>
  </si>
  <si>
    <t>Payout Size</t>
  </si>
  <si>
    <t>Annual Premium</t>
  </si>
  <si>
    <t>Payouts Associated with Each Plan</t>
  </si>
  <si>
    <t>Payouts</t>
  </si>
  <si>
    <t>Premiums</t>
  </si>
  <si>
    <t>check</t>
  </si>
  <si>
    <t>Chart Data</t>
  </si>
  <si>
    <t>Payout Cashflow (Positive)</t>
  </si>
  <si>
    <t>PV of Cashflow</t>
  </si>
  <si>
    <t>Model Simplifications</t>
  </si>
  <si>
    <t>Assumes no new customers</t>
  </si>
  <si>
    <t>assumes premiums are unchanging</t>
  </si>
  <si>
    <t>assumes life expectancy is defined only by age and gender</t>
  </si>
  <si>
    <t>assumes mortality payout estimates are accurate despite a small sample size</t>
  </si>
  <si>
    <t>how to estimate the convexity of the liabilities?</t>
  </si>
  <si>
    <t>Change in Curve in %</t>
  </si>
  <si>
    <t>PV +</t>
  </si>
  <si>
    <t>PV -</t>
  </si>
  <si>
    <t>Effective Duration</t>
  </si>
  <si>
    <t>Effective Convexity</t>
  </si>
  <si>
    <t>assumes only whole life plans where there is 100% certainty of payout</t>
  </si>
  <si>
    <t>assumes no early surrender options</t>
  </si>
  <si>
    <t>assumes no cash value of plan</t>
  </si>
  <si>
    <t>Whole Life</t>
  </si>
  <si>
    <t>Collapse grouping for premiums</t>
  </si>
  <si>
    <t>need to add a tab explaining insurance plans and pricing</t>
  </si>
  <si>
    <t>Estimation of the Liabilities' Effective Duration and Convexity</t>
  </si>
  <si>
    <t>Assets in Place</t>
  </si>
  <si>
    <t>Equity</t>
  </si>
  <si>
    <t>Bonds</t>
  </si>
  <si>
    <t>Bond Portfolio Detail</t>
  </si>
  <si>
    <t>Bond 3</t>
  </si>
  <si>
    <t>Market Value (Owned)</t>
  </si>
  <si>
    <t>PV of Bond Cashflow</t>
  </si>
  <si>
    <t>Bond 1 Cashflow</t>
  </si>
  <si>
    <t>Bonds owned are zero-coupon</t>
  </si>
  <si>
    <t>Bond 2 Cashflow</t>
  </si>
  <si>
    <t>Bond 3 Cashflow</t>
  </si>
  <si>
    <t>Total Bond Cashflow</t>
  </si>
  <si>
    <t>Premiums Cashflow</t>
  </si>
  <si>
    <t>Total Cashflow</t>
  </si>
  <si>
    <t>Discount Rate</t>
  </si>
  <si>
    <t>PV of Total Cashflow</t>
  </si>
  <si>
    <t>Question, how should I model the selling of bonds to meet cashflow requirements? Can't just assume I can make payments because BPV A &gt; BPV L</t>
  </si>
  <si>
    <t>Row Total</t>
  </si>
  <si>
    <t>High Rate - Low Rate (A)</t>
  </si>
  <si>
    <t>High Maturity - Low Maturity (B)</t>
  </si>
  <si>
    <t>A/B (C)</t>
  </si>
  <si>
    <t>CF Maturity - Low Maturity (D)</t>
  </si>
  <si>
    <t>Low Rate + E</t>
  </si>
  <si>
    <t>C * D (E)</t>
  </si>
  <si>
    <t>Linear Interpolated Yield</t>
  </si>
  <si>
    <t>% of Portfolio</t>
  </si>
  <si>
    <t>Estimatation of Assets Effective Duration and Convexity</t>
  </si>
  <si>
    <t>Effective Duration of Bonds</t>
  </si>
  <si>
    <t>Effective Convexity of Bonds</t>
  </si>
  <si>
    <t>Premium Cashflows</t>
  </si>
  <si>
    <t>PV of Premium Cashflow</t>
  </si>
  <si>
    <t>Eff. Duration</t>
  </si>
  <si>
    <t>Eff. Convexity</t>
  </si>
  <si>
    <t>Realistic Model Assumptions</t>
  </si>
  <si>
    <t>Uses actual yield curve data</t>
  </si>
  <si>
    <t>Life Insurance Immunization Model Dashboard</t>
  </si>
  <si>
    <t>Balance Sheet Summary</t>
  </si>
  <si>
    <t>Basis Point Value</t>
  </si>
  <si>
    <t>Ideas for model improvement</t>
  </si>
  <si>
    <t>Model should prescribe how to close the duration gap</t>
  </si>
  <si>
    <t>Model could show how to rebalance after yield curve shape changes</t>
  </si>
  <si>
    <t>Der. Overlay</t>
  </si>
  <si>
    <t>Total Assets</t>
  </si>
  <si>
    <t>Rule Met</t>
  </si>
  <si>
    <t>Bonds could have coupon payments</t>
  </si>
  <si>
    <t>add an early surrender option - european option model</t>
  </si>
  <si>
    <t>assume new customers may join over time</t>
  </si>
  <si>
    <t>Add an input tab where you can tweak some assumptions such as the 2 above</t>
  </si>
  <si>
    <t>Convexity Threshold</t>
  </si>
  <si>
    <t>Model could show at what key rates I have the most exposure</t>
  </si>
  <si>
    <t>Derivative Overlay Options for the Portfolio</t>
  </si>
  <si>
    <t>Chosen Overlay</t>
  </si>
  <si>
    <t>Receiver Swaption</t>
  </si>
  <si>
    <t>When re-adjusting, need to account for derivatives that are already in place, but avoid circularity</t>
  </si>
  <si>
    <t>None</t>
  </si>
  <si>
    <t>Current Value</t>
  </si>
  <si>
    <t>Current Swap Fixed Rate</t>
  </si>
  <si>
    <t>assumes the swap fixed rate follows the treasury yield curve perfectly</t>
  </si>
  <si>
    <t>Original Swap Fixed Rate</t>
  </si>
  <si>
    <t>Derivative 1</t>
  </si>
  <si>
    <t>Rule Tested</t>
  </si>
  <si>
    <t>Suplus</t>
  </si>
  <si>
    <t>Plan Surplus</t>
  </si>
  <si>
    <t>% Change</t>
  </si>
  <si>
    <t>Estimated Surplus</t>
  </si>
  <si>
    <t>Estimated Assets</t>
  </si>
  <si>
    <t>Estimated Liabilities</t>
  </si>
  <si>
    <t>Overlay 1</t>
  </si>
  <si>
    <t>Overlay Type</t>
  </si>
  <si>
    <t>Derivative Overlays</t>
  </si>
  <si>
    <t>Nontional Principal</t>
  </si>
  <si>
    <t>Strike</t>
  </si>
  <si>
    <t>Payer Swaption Leg</t>
  </si>
  <si>
    <t>Overlay 2 TO BE UPDTED</t>
  </si>
  <si>
    <t>Total Overlay</t>
  </si>
  <si>
    <t>Stored Derivative Inputs</t>
  </si>
  <si>
    <t>Current Inputs</t>
  </si>
  <si>
    <t>Total BPV</t>
  </si>
  <si>
    <t>Receive Fixed Swap</t>
  </si>
  <si>
    <t>assumes swaps have only one payment and are annual frequency</t>
  </si>
  <si>
    <t>Do derivatives change the portfolios convexity? (it appears they don't based on my testing)</t>
  </si>
  <si>
    <t>premium cost of swaptions should hit the assets value</t>
  </si>
  <si>
    <t>Am I sizing the receiver swaption correctly? Is the BPV per $1 notional something different?</t>
  </si>
  <si>
    <t>How do I calculate the duration of a receiver swaption?</t>
  </si>
  <si>
    <t>What is the replicating portfolio of bonds?</t>
  </si>
  <si>
    <t>Notional Value</t>
  </si>
  <si>
    <t>#</t>
  </si>
  <si>
    <t>Life Insurance Immunization Model</t>
  </si>
  <si>
    <t>Payout Year (Est.)*</t>
  </si>
  <si>
    <t>*In practice, more than 10 clients would be needed to ensure accuracy of payout timing estimates. The law of large numbers would make these estimates more stable.</t>
  </si>
  <si>
    <t>Do derivative overlays change the convexity of the assets?</t>
  </si>
  <si>
    <t>Should I be using the treasury yield as the discount rate for the liabilities?</t>
  </si>
  <si>
    <t>Am I correctly sizing the hedge of the Receiver Swaption and Zero-Cost Collar?</t>
  </si>
  <si>
    <t>Am I using the right BPV per $1 np? (cells d14:15 overlay tab)</t>
  </si>
  <si>
    <t>The four rules of duration matching seem to ignore cash flow implications</t>
  </si>
  <si>
    <t>How would a model handle the selling of bonds to meet paytouts etc.</t>
  </si>
  <si>
    <t>This model shows rebalanacing after interest rate changes, but how would you model rebalancing after passage of time?</t>
  </si>
  <si>
    <t>&lt;- Cells in this tan shade are user input cells, you can enter customized values in these cells to interact with the model</t>
  </si>
  <si>
    <t>Balance Sheet Immunization Model</t>
  </si>
  <si>
    <t>Credit Spread</t>
  </si>
  <si>
    <t>New Curve</t>
  </si>
  <si>
    <t>Liability Disc.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</si>
</sst>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41" formatCode="_(* #,##0_);_(* \(#,##0\);_(* &quot;-&quot;_);_(@_)"/>
    <numFmt numFmtId="44" formatCode="_(&quot;$&quot;* #,##0.00_);_(&quot;$&quot;* \(#,##0.00\);_(&quot;$&quot;* &quot;-&quot;??_);_(@_)"/>
    <numFmt numFmtId="43" formatCode="_(* #,##0.00_);_(* \(#,##0.00\);_(* &quot;-&quot;??_);_(@_)"/>
    <numFmt numFmtId="164" formatCode="_(* #,##0_);_(* \(#,##0\);_(* &quot;-&quot;??_);_(@_)"/>
    <numFmt numFmtId="165" formatCode="[$-409]mmm\-yy;@"/>
    <numFmt numFmtId="166" formatCode="_(* #,##0.0_);_(* \(#,##0.0\);_(* &quot;-&quot;??_);_(@_)"/>
    <numFmt numFmtId="167" formatCode="0.0%"/>
    <numFmt numFmtId="168" formatCode="_(* #,##0.0_);_(* \(#,##0.0\);_(* &quot;-&quot;?_);_(@_)"/>
    <numFmt numFmtId="169" formatCode="0;\-0;;@"/>
    <numFmt numFmtId="170" formatCode="#,##0.00;[Red]\ \ \-\ #,##0.00\ ;&quot;-&quot;"/>
    <numFmt numFmtId="171" formatCode="#,##0.00;[Red]\ \(#,##0.00\)\ ;&quot;-&quot;"/>
    <numFmt numFmtId="172" formatCode="0.000000"/>
    <numFmt numFmtId="173" formatCode="[$-409]d\-mmm\-yy;@"/>
    <numFmt numFmtId="174" formatCode="#,##0.0_);\(#,##0.0\)"/>
    <numFmt numFmtId="175" formatCode="_(&quot;$&quot;* #,##0,_);_(&quot;$&quot;* \(#,##0,\);_(&quot;$&quot;* &quot;-&quot;??_);_(@_)"/>
    <numFmt numFmtId="176" formatCode="_(* #,##0,_);[Red]_(* \(#,##0,\);_(* &quot;-&quot;??_);_(@_)"/>
    <numFmt numFmtId="177" formatCode="_([$$-409]* #,##0.00_);_([$$-409]* \(#,##0.00\);_([$$-409]* &quot;-&quot;??_);_(@_)"/>
    <numFmt numFmtId="178" formatCode="_(&quot;$&quot;* #,##0_);_(&quot;$&quot;* \(#,##0\);_(&quot;$&quot;* &quot;-&quot;??_);_(@_)"/>
    <numFmt numFmtId="179" formatCode="0.0%;\-0.0%_);&quot;-  &quot;;&quot; &quot;@&quot; &quot;"/>
    <numFmt numFmtId="180" formatCode="#,##0_);\(#,##0\);&quot;-  &quot;;&quot; &quot;@&quot; &quot;"/>
    <numFmt numFmtId="181" formatCode="0%;\-0%_);&quot;-  &quot;;&quot; &quot;@&quot; &quot;"/>
    <numFmt numFmtId="182" formatCode="###0_);\(###0\);&quot;-  &quot;;&quot; &quot;@&quot; &quot;"/>
    <numFmt numFmtId="183" formatCode="#,##0.0_);\(#,##0.0\);&quot;-  &quot;;&quot; &quot;@&quot; &quot;"/>
    <numFmt numFmtId="184" formatCode="0.000%;\-0.000%_);&quot;-  &quot;;&quot; &quot;@&quot; &quot;"/>
    <numFmt numFmtId="185" formatCode="0.00%;\-0.00%_);&quot;-  &quot;;&quot; &quot;@&quot; &quot;"/>
    <numFmt numFmtId="186" formatCode="#,##0.000000_);\(#,##0.000000\);&quot;-  &quot;;&quot; &quot;@&quot; &quot;"/>
    <numFmt numFmtId="187" formatCode="#,##0.00_);\(#,##0.00\);&quot;-  &quot;;&quot; &quot;@&quot; &quot;"/>
    <numFmt numFmtId="188" formatCode="#,##0.0000_);\(#,##0.0000\);&quot;-  &quot;;&quot; &quot;@&quot; &quot;"/>
    <numFmt numFmtId="189" formatCode="0.0000%;\-0.0000%_);&quot;-  &quot;;&quot; &quot;@&quot; &quot;"/>
    <numFmt numFmtId="190" formatCode="0.00000%;\-0.00000%_);&quot;-  &quot;;&quot; &quot;@&quot; &quot;"/>
  </numFmts>
  <fonts count="78">
    <font>
      <sz val="11"/>
      <color theme="1"/>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10"/>
      <name val="Arial"/>
      <family val="2"/>
    </font>
    <font>
      <b/>
      <sz val="25"/>
      <color theme="0"/>
      <name val="Calibri"/>
      <family val="2"/>
      <scheme val="minor"/>
    </font>
    <font>
      <sz val="18"/>
      <color theme="0"/>
      <name val="Calibri"/>
      <family val="2"/>
      <scheme val="minor"/>
    </font>
    <font>
      <sz val="11"/>
      <color theme="1"/>
      <name val="Calibri Light"/>
      <family val="1"/>
      <scheme val="major"/>
    </font>
    <font>
      <b/>
      <sz val="11"/>
      <color theme="0"/>
      <name val="Calibri Light"/>
      <family val="1"/>
      <scheme val="major"/>
    </font>
    <font>
      <u/>
      <sz val="11"/>
      <color theme="0"/>
      <name val="Calibri Light"/>
      <family val="1"/>
      <scheme val="major"/>
    </font>
    <font>
      <sz val="9"/>
      <name val="Geneva"/>
    </font>
    <font>
      <sz val="10"/>
      <color rgb="FF0070C0"/>
      <name val="Times"/>
    </font>
    <font>
      <sz val="16"/>
      <color indexed="10"/>
      <name val="Arial"/>
      <family val="2"/>
    </font>
    <font>
      <sz val="11"/>
      <color theme="1"/>
      <name val="Arial"/>
      <family val="2"/>
    </font>
    <font>
      <b/>
      <sz val="11"/>
      <name val="Arial"/>
      <family val="2"/>
    </font>
    <font>
      <sz val="11"/>
      <color indexed="8"/>
      <name val="Calibri"/>
      <family val="2"/>
    </font>
    <font>
      <sz val="11"/>
      <color indexed="18"/>
      <name val="Arial"/>
      <family val="2"/>
    </font>
    <font>
      <sz val="11"/>
      <name val="Calibri"/>
      <family val="2"/>
    </font>
    <font>
      <sz val="11"/>
      <color indexed="17"/>
      <name val="Calibri"/>
      <family val="2"/>
    </font>
    <font>
      <sz val="11"/>
      <color indexed="8"/>
      <name val="Arial"/>
      <family val="2"/>
    </font>
    <font>
      <sz val="11"/>
      <name val="Arial"/>
      <family val="2"/>
    </font>
    <font>
      <b/>
      <sz val="11"/>
      <color theme="1"/>
      <name val="Arial"/>
      <family val="2"/>
    </font>
    <font>
      <sz val="11"/>
      <color theme="0"/>
      <name val="Calibri"/>
      <family val="2"/>
      <scheme val="minor"/>
    </font>
    <font>
      <b/>
      <sz val="11"/>
      <color indexed="8"/>
      <name val="Arial"/>
      <family val="2"/>
    </font>
    <font>
      <sz val="11"/>
      <name val="Times"/>
    </font>
    <font>
      <u/>
      <sz val="11"/>
      <name val="Times"/>
    </font>
    <font>
      <b/>
      <u val="singleAccounting"/>
      <sz val="11"/>
      <color theme="0"/>
      <name val="Arial"/>
      <family val="2"/>
    </font>
    <font>
      <b/>
      <sz val="13"/>
      <color theme="3"/>
      <name val="Calibri"/>
      <family val="2"/>
      <scheme val="minor"/>
    </font>
    <font>
      <i/>
      <sz val="11"/>
      <color theme="1"/>
      <name val="Calibri"/>
      <family val="2"/>
      <scheme val="minor"/>
    </font>
    <font>
      <b/>
      <sz val="10"/>
      <color theme="0"/>
      <name val="Times New Roman"/>
      <family val="1"/>
    </font>
    <font>
      <sz val="12"/>
      <color theme="1"/>
      <name val="Calibri"/>
      <family val="2"/>
      <scheme val="minor"/>
    </font>
    <font>
      <sz val="8"/>
      <name val="Calibri"/>
      <family val="2"/>
      <scheme val="minor"/>
    </font>
    <font>
      <sz val="10"/>
      <color theme="1"/>
      <name val="Arial"/>
      <family val="2"/>
    </font>
    <font>
      <b/>
      <i/>
      <sz val="11"/>
      <color theme="1"/>
      <name val="Arial"/>
      <family val="2"/>
    </font>
    <font>
      <b/>
      <sz val="10"/>
      <name val="Times New Roman"/>
      <family val="1"/>
    </font>
    <font>
      <b/>
      <sz val="18"/>
      <color theme="4" tint="-0.499984740745262"/>
      <name val="Arial"/>
      <family val="2"/>
    </font>
    <font>
      <b/>
      <sz val="12"/>
      <color rgb="FF00B0F0"/>
      <name val="Arial"/>
      <family val="2"/>
    </font>
    <font>
      <b/>
      <sz val="11"/>
      <color theme="0"/>
      <name val="Arial"/>
      <family val="2"/>
    </font>
    <font>
      <sz val="11"/>
      <color rgb="FF0070C0"/>
      <name val="Arial"/>
      <family val="2"/>
    </font>
    <font>
      <i/>
      <sz val="11"/>
      <color theme="1"/>
      <name val="Arial"/>
      <family val="2"/>
    </font>
    <font>
      <u/>
      <sz val="11"/>
      <color theme="1"/>
      <name val="Arial"/>
      <family val="2"/>
    </font>
    <font>
      <i/>
      <u/>
      <sz val="11"/>
      <name val="Arial"/>
      <family val="2"/>
    </font>
    <font>
      <sz val="9"/>
      <color indexed="81"/>
      <name val="Tahoma"/>
      <family val="2"/>
    </font>
    <font>
      <b/>
      <sz val="9"/>
      <color indexed="81"/>
      <name val="Tahoma"/>
      <family val="2"/>
    </font>
    <font>
      <sz val="11"/>
      <color theme="0" tint="-0.499984740745262"/>
      <name val="Calibri"/>
      <family val="2"/>
      <scheme val="minor"/>
    </font>
    <font>
      <u/>
      <sz val="11"/>
      <color theme="1"/>
      <name val="Calibri"/>
      <family val="2"/>
      <scheme val="minor"/>
    </font>
    <font>
      <sz val="11"/>
      <name val="Calibri"/>
      <family val="2"/>
      <scheme val="minor"/>
    </font>
    <font>
      <i/>
      <u/>
      <sz val="11"/>
      <color theme="1"/>
      <name val="Calibri"/>
      <family val="2"/>
      <scheme val="minor"/>
    </font>
    <font>
      <b/>
      <sz val="11"/>
      <color theme="0"/>
      <name val="Calibri"/>
      <family val="2"/>
      <scheme val="minor"/>
    </font>
    <font>
      <sz val="11"/>
      <color theme="1"/>
      <name val="Calibri"/>
      <family val="2"/>
    </font>
    <font>
      <b/>
      <sz val="11"/>
      <color rgb="FFFF0000"/>
      <name val="Calibri"/>
      <family val="2"/>
      <scheme val="minor"/>
    </font>
    <font>
      <b/>
      <sz val="11"/>
      <color rgb="FF002060"/>
      <name val="Calibri"/>
      <family val="2"/>
      <scheme val="minor"/>
    </font>
    <font>
      <b/>
      <sz val="11"/>
      <color theme="4"/>
      <name val="Calibri"/>
      <family val="2"/>
      <scheme val="minor"/>
    </font>
    <font>
      <b/>
      <sz val="11"/>
      <name val="Calibri"/>
      <family val="2"/>
      <scheme val="minor"/>
    </font>
    <font>
      <b/>
      <sz val="11"/>
      <color indexed="18"/>
      <name val="Arial"/>
      <family val="2"/>
    </font>
    <font>
      <sz val="8"/>
      <color indexed="63"/>
      <name val="Trebuchet MS"/>
      <family val="2"/>
    </font>
    <font>
      <u/>
      <sz val="8"/>
      <color indexed="63"/>
      <name val="Trebuchet MS"/>
      <family val="1"/>
      <charset val="204"/>
    </font>
    <font>
      <sz val="10"/>
      <name val="Times New Roman"/>
      <family val="1"/>
      <charset val="204"/>
    </font>
    <font>
      <sz val="8"/>
      <color indexed="63"/>
      <name val="Arial"/>
      <family val="2"/>
    </font>
    <font>
      <sz val="8"/>
      <color indexed="63"/>
      <name val="Trebuchet MS"/>
      <family val="1"/>
      <charset val="204"/>
    </font>
    <font>
      <sz val="9"/>
      <name val="Calibri"/>
      <family val="2"/>
    </font>
    <font>
      <i/>
      <sz val="11"/>
      <name val="Geneva"/>
    </font>
    <font>
      <sz val="12"/>
      <name val="Arial"/>
      <family val="2"/>
    </font>
    <font>
      <sz val="11"/>
      <color rgb="FF000000"/>
      <name val="Calibri"/>
      <family val="2"/>
    </font>
    <font>
      <sz val="11"/>
      <color rgb="FFFF0000"/>
      <name val="Calibri"/>
      <family val="2"/>
      <scheme val="minor"/>
    </font>
    <font>
      <b/>
      <sz val="11"/>
      <name val="Calibri"/>
      <family val="2"/>
    </font>
    <font>
      <sz val="11"/>
      <color rgb="FF006100"/>
      <name val="Calibri"/>
      <family val="2"/>
      <scheme val="minor"/>
    </font>
    <font>
      <sz val="14"/>
      <color indexed="81"/>
      <name val="Tahoma"/>
      <family val="2"/>
    </font>
    <font>
      <sz val="16"/>
      <color indexed="81"/>
      <name val="Tahoma"/>
      <family val="2"/>
    </font>
    <font>
      <u/>
      <sz val="12"/>
      <color theme="10"/>
      <name val="Calibri"/>
      <family val="2"/>
      <scheme val="minor"/>
    </font>
    <font>
      <i/>
      <sz val="11"/>
      <color rgb="FFFF0000"/>
      <name val="Calibri"/>
      <family val="2"/>
      <scheme val="minor"/>
    </font>
    <font>
      <sz val="11"/>
      <color rgb="FF000000"/>
      <name val="Calibri"/>
      <family val="2"/>
      <scheme val="minor"/>
    </font>
    <font>
      <b/>
      <sz val="10"/>
      <name val="Arial"/>
      <family val="2"/>
    </font>
    <font>
      <sz val="11"/>
      <color rgb="FF0000FF"/>
      <name val="Arial"/>
      <family val="2"/>
    </font>
    <font>
      <sz val="14"/>
      <color theme="0"/>
      <name val="Calibri"/>
      <family val="2"/>
      <scheme val="minor"/>
    </font>
    <font>
      <sz val="12"/>
      <color theme="1"/>
      <name val="Arial"/>
      <family val="2"/>
    </font>
    <font>
      <sz val="11"/>
      <color rgb="FF000000"/>
      <name val="Arial"/>
      <family val="2"/>
    </font>
    <font>
      <u val="singleAccounting"/>
      <sz val="11"/>
      <color theme="1"/>
      <name val="Calibri"/>
      <family val="2"/>
      <scheme val="minor"/>
    </font>
  </fonts>
  <fills count="24">
    <fill>
      <patternFill patternType="none"/>
    </fill>
    <fill>
      <patternFill patternType="gray125"/>
    </fill>
    <fill>
      <patternFill patternType="solid">
        <fgColor rgb="FF00B0F0"/>
        <bgColor indexed="64"/>
      </patternFill>
    </fill>
    <fill>
      <patternFill patternType="solid">
        <fgColor theme="0" tint="-0.499984740745262"/>
        <bgColor indexed="64"/>
      </patternFill>
    </fill>
    <fill>
      <patternFill patternType="solid">
        <fgColor indexed="2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9" tint="-0.249977111117893"/>
        <bgColor indexed="64"/>
      </patternFill>
    </fill>
    <fill>
      <patternFill patternType="solid">
        <fgColor theme="2" tint="-9.9978637043366805E-2"/>
        <bgColor indexed="64"/>
      </patternFill>
    </fill>
    <fill>
      <patternFill patternType="solid">
        <fgColor theme="7"/>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rgb="FFC6EFCE"/>
      </patternFill>
    </fill>
    <fill>
      <patternFill patternType="solid">
        <fgColor rgb="FFFFFFAF"/>
        <bgColor indexed="64"/>
      </patternFill>
    </fill>
    <fill>
      <patternFill patternType="solid">
        <fgColor rgb="FF99FF66"/>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thin">
        <color indexed="64"/>
      </top>
      <bottom style="medium">
        <color indexed="64"/>
      </bottom>
      <diagonal/>
    </border>
    <border>
      <left/>
      <right/>
      <top/>
      <bottom style="thick">
        <color theme="4" tint="0.499984740745262"/>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thin">
        <color indexed="64"/>
      </bottom>
      <diagonal/>
    </border>
    <border>
      <left style="thick">
        <color indexed="64"/>
      </left>
      <right style="thick">
        <color indexed="64"/>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20">
    <xf numFmtId="180" fontId="0" fillId="0" borderId="0" applyFont="0" applyFill="0" applyBorder="0" applyProtection="0">
      <alignment vertical="top"/>
    </xf>
    <xf numFmtId="43" fontId="1" fillId="0" borderId="0" applyFont="0" applyFill="0" applyBorder="0" applyAlignment="0" applyProtection="0"/>
    <xf numFmtId="44" fontId="1" fillId="0" borderId="0" applyFont="0" applyFill="0" applyBorder="0" applyAlignment="0" applyProtection="0"/>
    <xf numFmtId="0" fontId="3" fillId="0" borderId="0" applyNumberFormat="0" applyFill="0" applyBorder="0" applyAlignment="0" applyProtection="0"/>
    <xf numFmtId="0" fontId="10" fillId="0" borderId="0"/>
    <xf numFmtId="44" fontId="10" fillId="0" borderId="0" applyFont="0" applyFill="0" applyBorder="0" applyAlignment="0" applyProtection="0"/>
    <xf numFmtId="9" fontId="10" fillId="0" borderId="0" applyFont="0" applyFill="0" applyBorder="0" applyAlignment="0" applyProtection="0"/>
    <xf numFmtId="43" fontId="10" fillId="0" borderId="0" applyFont="0" applyFill="0" applyBorder="0" applyAlignment="0" applyProtection="0"/>
    <xf numFmtId="0" fontId="4" fillId="0" borderId="0"/>
    <xf numFmtId="43" fontId="15" fillId="0" borderId="0" applyFont="0" applyFill="0" applyBorder="0" applyAlignment="0" applyProtection="0"/>
    <xf numFmtId="181" fontId="1" fillId="0" borderId="0" applyFont="0" applyFill="0" applyBorder="0" applyProtection="0">
      <alignment vertical="top"/>
    </xf>
    <xf numFmtId="0" fontId="27" fillId="0" borderId="4" applyNumberFormat="0" applyFill="0" applyAlignment="0" applyProtection="0"/>
    <xf numFmtId="175" fontId="17" fillId="3" borderId="0" applyFont="0" applyFill="0" applyBorder="0" applyAlignment="0" applyProtection="0">
      <alignment vertical="center"/>
      <protection locked="0"/>
    </xf>
    <xf numFmtId="176" fontId="17" fillId="3" borderId="0" applyFont="0" applyFill="0" applyBorder="0" applyAlignment="0" applyProtection="0">
      <alignment vertical="center"/>
      <protection locked="0"/>
    </xf>
    <xf numFmtId="0" fontId="62" fillId="0" borderId="0"/>
    <xf numFmtId="0" fontId="66" fillId="21" borderId="0" applyNumberFormat="0" applyBorder="0" applyAlignment="0" applyProtection="0"/>
    <xf numFmtId="175" fontId="1" fillId="0" borderId="0" applyFont="0" applyFill="0" applyBorder="0" applyProtection="0">
      <alignment vertical="top"/>
    </xf>
    <xf numFmtId="14" fontId="1" fillId="0" borderId="0" applyFont="0" applyFill="0" applyBorder="0" applyProtection="0">
      <alignment vertical="top"/>
    </xf>
    <xf numFmtId="165" fontId="1" fillId="0" borderId="0" applyFont="0" applyFill="0" applyBorder="0" applyProtection="0">
      <alignment vertical="top"/>
    </xf>
    <xf numFmtId="182" fontId="1" fillId="0" borderId="0" applyFont="0" applyFill="0" applyBorder="0" applyProtection="0">
      <alignment vertical="top"/>
    </xf>
  </cellStyleXfs>
  <cellXfs count="404">
    <xf numFmtId="180" fontId="0" fillId="0" borderId="0" xfId="0">
      <alignment vertical="top"/>
    </xf>
    <xf numFmtId="180" fontId="5" fillId="2" borderId="0" xfId="0" applyFont="1" applyFill="1">
      <alignment vertical="top"/>
    </xf>
    <xf numFmtId="180" fontId="0" fillId="2" borderId="0" xfId="0" applyFill="1">
      <alignment vertical="top"/>
    </xf>
    <xf numFmtId="180" fontId="0" fillId="3" borderId="0" xfId="0" applyFill="1">
      <alignment vertical="top"/>
    </xf>
    <xf numFmtId="180" fontId="6" fillId="2" borderId="0" xfId="0" applyFont="1" applyFill="1">
      <alignment vertical="top"/>
    </xf>
    <xf numFmtId="180" fontId="7" fillId="2" borderId="0" xfId="0" applyFont="1" applyFill="1">
      <alignment vertical="top"/>
    </xf>
    <xf numFmtId="180" fontId="8" fillId="2" borderId="0" xfId="0" applyFont="1" applyFill="1">
      <alignment vertical="top"/>
    </xf>
    <xf numFmtId="0" fontId="9" fillId="2" borderId="0" xfId="3" applyFont="1" applyFill="1" applyAlignment="1" applyProtection="1"/>
    <xf numFmtId="180" fontId="2" fillId="0" borderId="0" xfId="0" applyFont="1">
      <alignment vertical="top"/>
    </xf>
    <xf numFmtId="0" fontId="3" fillId="0" borderId="0" xfId="3" applyFill="1" applyAlignment="1" applyProtection="1"/>
    <xf numFmtId="180" fontId="6" fillId="2" borderId="0" xfId="0" quotePrefix="1" applyFont="1" applyFill="1">
      <alignment vertical="top"/>
    </xf>
    <xf numFmtId="180" fontId="12" fillId="0" borderId="0" xfId="0" quotePrefix="1" applyFont="1" applyAlignment="1">
      <alignment horizontal="left"/>
    </xf>
    <xf numFmtId="180" fontId="13" fillId="0" borderId="0" xfId="0" applyFont="1">
      <alignment vertical="top"/>
    </xf>
    <xf numFmtId="180" fontId="13" fillId="3" borderId="0" xfId="0" applyFont="1" applyFill="1">
      <alignment vertical="top"/>
    </xf>
    <xf numFmtId="0" fontId="4" fillId="0" borderId="0" xfId="8"/>
    <xf numFmtId="180" fontId="14" fillId="0" borderId="2" xfId="0" applyFont="1" applyBorder="1">
      <alignment vertical="top"/>
    </xf>
    <xf numFmtId="165" fontId="14" fillId="0" borderId="2" xfId="0" applyNumberFormat="1" applyFont="1" applyBorder="1">
      <alignment vertical="top"/>
    </xf>
    <xf numFmtId="0" fontId="4" fillId="3" borderId="0" xfId="8" applyFill="1"/>
    <xf numFmtId="166" fontId="16" fillId="4" borderId="0" xfId="9" applyNumberFormat="1" applyFont="1" applyFill="1" applyBorder="1" applyAlignment="1" applyProtection="1">
      <alignment vertical="center"/>
      <protection locked="0"/>
    </xf>
    <xf numFmtId="166" fontId="20" fillId="0" borderId="0" xfId="9" applyNumberFormat="1" applyFont="1"/>
    <xf numFmtId="166" fontId="17" fillId="0" borderId="0" xfId="9" applyNumberFormat="1" applyFont="1"/>
    <xf numFmtId="180" fontId="19" fillId="0" borderId="0" xfId="0" applyFont="1">
      <alignment vertical="top"/>
    </xf>
    <xf numFmtId="166" fontId="17" fillId="3" borderId="0" xfId="9" applyNumberFormat="1" applyFont="1" applyFill="1" applyBorder="1" applyAlignment="1" applyProtection="1">
      <alignment vertical="center"/>
      <protection locked="0"/>
    </xf>
    <xf numFmtId="166" fontId="18" fillId="3" borderId="0" xfId="9" applyNumberFormat="1" applyFont="1" applyFill="1" applyBorder="1" applyAlignment="1" applyProtection="1">
      <alignment vertical="center"/>
      <protection locked="0"/>
    </xf>
    <xf numFmtId="166" fontId="17" fillId="3" borderId="0" xfId="9" applyNumberFormat="1" applyFont="1" applyFill="1"/>
    <xf numFmtId="180" fontId="14" fillId="0" borderId="0" xfId="0" applyFont="1">
      <alignment vertical="top"/>
    </xf>
    <xf numFmtId="164" fontId="16" fillId="4" borderId="0" xfId="9" applyNumberFormat="1" applyFont="1" applyFill="1" applyBorder="1" applyAlignment="1" applyProtection="1">
      <alignment vertical="center"/>
      <protection locked="0"/>
    </xf>
    <xf numFmtId="44" fontId="0" fillId="0" borderId="0" xfId="2" applyFont="1"/>
    <xf numFmtId="0" fontId="11" fillId="0" borderId="0" xfId="4" applyFont="1"/>
    <xf numFmtId="0" fontId="24" fillId="0" borderId="0" xfId="4" applyFont="1"/>
    <xf numFmtId="44" fontId="24" fillId="0" borderId="0" xfId="2" applyFont="1" applyFill="1" applyBorder="1"/>
    <xf numFmtId="0" fontId="25" fillId="0" borderId="0" xfId="4" applyFont="1"/>
    <xf numFmtId="41" fontId="24" fillId="6" borderId="1" xfId="5" applyNumberFormat="1" applyFont="1" applyFill="1" applyBorder="1"/>
    <xf numFmtId="44" fontId="13" fillId="0" borderId="0" xfId="0" applyNumberFormat="1" applyFont="1">
      <alignment vertical="top"/>
    </xf>
    <xf numFmtId="180" fontId="15" fillId="0" borderId="0" xfId="0" applyFont="1">
      <alignment vertical="top"/>
    </xf>
    <xf numFmtId="180" fontId="22" fillId="2" borderId="0" xfId="0" quotePrefix="1" applyFont="1" applyFill="1">
      <alignment vertical="top"/>
    </xf>
    <xf numFmtId="14" fontId="14" fillId="0" borderId="2" xfId="0" applyNumberFormat="1" applyFont="1" applyBorder="1">
      <alignment vertical="top"/>
    </xf>
    <xf numFmtId="180" fontId="26" fillId="2" borderId="0" xfId="0" applyFont="1" applyFill="1">
      <alignment vertical="top"/>
    </xf>
    <xf numFmtId="1" fontId="20" fillId="0" borderId="0" xfId="0" quotePrefix="1" applyNumberFormat="1" applyFont="1" applyAlignment="1">
      <alignment horizontal="center"/>
    </xf>
    <xf numFmtId="0" fontId="27" fillId="0" borderId="4" xfId="11"/>
    <xf numFmtId="180" fontId="0" fillId="0" borderId="5" xfId="0" applyBorder="1">
      <alignment vertical="top"/>
    </xf>
    <xf numFmtId="44" fontId="0" fillId="0" borderId="6" xfId="2" applyFont="1" applyBorder="1"/>
    <xf numFmtId="180" fontId="0" fillId="0" borderId="8" xfId="0" applyBorder="1">
      <alignment vertical="top"/>
    </xf>
    <xf numFmtId="44" fontId="0" fillId="0" borderId="9" xfId="2" applyFont="1" applyBorder="1"/>
    <xf numFmtId="180" fontId="0" fillId="0" borderId="7" xfId="0" applyBorder="1">
      <alignment vertical="top"/>
    </xf>
    <xf numFmtId="180" fontId="0" fillId="0" borderId="10" xfId="0" applyBorder="1">
      <alignment vertical="top"/>
    </xf>
    <xf numFmtId="180" fontId="0" fillId="0" borderId="11" xfId="0" applyBorder="1">
      <alignment vertical="top"/>
    </xf>
    <xf numFmtId="44" fontId="0" fillId="0" borderId="12" xfId="2" applyFont="1" applyBorder="1"/>
    <xf numFmtId="180" fontId="28" fillId="0" borderId="0" xfId="0" applyFont="1">
      <alignment vertical="top"/>
    </xf>
    <xf numFmtId="44" fontId="0" fillId="7" borderId="0" xfId="2" applyFont="1" applyFill="1"/>
    <xf numFmtId="44" fontId="0" fillId="0" borderId="0" xfId="2" applyFont="1" applyFill="1"/>
    <xf numFmtId="180" fontId="0" fillId="0" borderId="9" xfId="0" applyBorder="1">
      <alignment vertical="top"/>
    </xf>
    <xf numFmtId="180" fontId="0" fillId="0" borderId="12" xfId="0" applyBorder="1">
      <alignment vertical="top"/>
    </xf>
    <xf numFmtId="44" fontId="27" fillId="0" borderId="4" xfId="11" applyNumberFormat="1"/>
    <xf numFmtId="44" fontId="0" fillId="0" borderId="0" xfId="0" applyNumberFormat="1">
      <alignment vertical="top"/>
    </xf>
    <xf numFmtId="0" fontId="3" fillId="0" borderId="0" xfId="3"/>
    <xf numFmtId="180" fontId="29" fillId="8" borderId="17" xfId="0" applyFont="1" applyFill="1" applyBorder="1">
      <alignment vertical="top"/>
    </xf>
    <xf numFmtId="164" fontId="0" fillId="9" borderId="9" xfId="1" applyNumberFormat="1" applyFont="1" applyFill="1" applyBorder="1"/>
    <xf numFmtId="164" fontId="0" fillId="9" borderId="12" xfId="1" applyNumberFormat="1" applyFont="1" applyFill="1" applyBorder="1"/>
    <xf numFmtId="166" fontId="16" fillId="4" borderId="0" xfId="9" applyNumberFormat="1" applyFont="1" applyFill="1" applyBorder="1" applyAlignment="1" applyProtection="1">
      <alignment horizontal="right" vertical="center"/>
      <protection locked="0"/>
    </xf>
    <xf numFmtId="180" fontId="2" fillId="0" borderId="0" xfId="0" applyFont="1" applyAlignment="1">
      <alignment wrapText="1"/>
    </xf>
    <xf numFmtId="180" fontId="0" fillId="0" borderId="0" xfId="0" applyAlignment="1">
      <alignment horizontal="center" vertical="center"/>
    </xf>
    <xf numFmtId="164" fontId="16" fillId="4" borderId="0" xfId="9" applyNumberFormat="1" applyFont="1" applyFill="1" applyBorder="1" applyAlignment="1" applyProtection="1">
      <alignment horizontal="right" vertical="center"/>
      <protection locked="0"/>
    </xf>
    <xf numFmtId="181" fontId="16" fillId="4" borderId="0" xfId="10" applyFont="1" applyFill="1" applyBorder="1" applyAlignment="1" applyProtection="1">
      <alignment horizontal="right" vertical="center"/>
      <protection locked="0"/>
    </xf>
    <xf numFmtId="180" fontId="0" fillId="0" borderId="20" xfId="0" applyBorder="1">
      <alignment vertical="top"/>
    </xf>
    <xf numFmtId="44" fontId="0" fillId="0" borderId="0" xfId="2" applyFont="1" applyBorder="1"/>
    <xf numFmtId="180" fontId="0" fillId="0" borderId="21" xfId="0" applyBorder="1">
      <alignment vertical="top"/>
    </xf>
    <xf numFmtId="180" fontId="0" fillId="0" borderId="0" xfId="0" applyAlignment="1">
      <alignment wrapText="1"/>
    </xf>
    <xf numFmtId="180" fontId="32" fillId="0" borderId="0" xfId="0" applyFont="1">
      <alignment vertical="top"/>
    </xf>
    <xf numFmtId="0" fontId="20" fillId="4" borderId="0" xfId="2" applyNumberFormat="1" applyFont="1" applyFill="1" applyBorder="1" applyAlignment="1" applyProtection="1">
      <alignment horizontal="center" vertical="center"/>
      <protection locked="0"/>
    </xf>
    <xf numFmtId="180" fontId="33" fillId="10" borderId="0" xfId="0" applyFont="1" applyFill="1">
      <alignment vertical="top"/>
    </xf>
    <xf numFmtId="180" fontId="33" fillId="11" borderId="0" xfId="0" applyFont="1" applyFill="1">
      <alignment vertical="top"/>
    </xf>
    <xf numFmtId="180" fontId="33" fillId="12" borderId="0" xfId="0" applyFont="1" applyFill="1">
      <alignment vertical="top"/>
    </xf>
    <xf numFmtId="180" fontId="33" fillId="13" borderId="0" xfId="0" applyFont="1" applyFill="1">
      <alignment vertical="top"/>
    </xf>
    <xf numFmtId="180" fontId="33" fillId="11" borderId="0" xfId="0" applyFont="1" applyFill="1" applyAlignment="1">
      <alignment horizontal="center"/>
    </xf>
    <xf numFmtId="180" fontId="33" fillId="13" borderId="0" xfId="0" applyFont="1" applyFill="1" applyAlignment="1">
      <alignment horizontal="center"/>
    </xf>
    <xf numFmtId="180" fontId="33" fillId="12" borderId="0" xfId="0" applyFont="1" applyFill="1" applyAlignment="1">
      <alignment horizontal="center"/>
    </xf>
    <xf numFmtId="167" fontId="19" fillId="0" borderId="0" xfId="0" applyNumberFormat="1" applyFont="1">
      <alignment vertical="top"/>
    </xf>
    <xf numFmtId="180" fontId="34" fillId="14" borderId="15" xfId="0" applyFont="1" applyFill="1" applyBorder="1">
      <alignment vertical="top"/>
    </xf>
    <xf numFmtId="181" fontId="24" fillId="6" borderId="1" xfId="10" applyFont="1" applyFill="1" applyBorder="1">
      <alignment vertical="top"/>
    </xf>
    <xf numFmtId="44" fontId="24" fillId="6" borderId="1" xfId="2" applyFont="1" applyFill="1" applyBorder="1"/>
    <xf numFmtId="180" fontId="28" fillId="3" borderId="0" xfId="0" applyFont="1" applyFill="1">
      <alignment vertical="top"/>
    </xf>
    <xf numFmtId="180" fontId="33" fillId="10" borderId="0" xfId="0" applyFont="1" applyFill="1" applyAlignment="1">
      <alignment horizontal="center"/>
    </xf>
    <xf numFmtId="180" fontId="33" fillId="5" borderId="0" xfId="0" applyFont="1" applyFill="1" applyAlignment="1">
      <alignment horizontal="center"/>
    </xf>
    <xf numFmtId="180" fontId="28" fillId="0" borderId="0" xfId="0" applyFont="1" applyAlignment="1">
      <alignment horizontal="center"/>
    </xf>
    <xf numFmtId="44" fontId="13" fillId="0" borderId="0" xfId="2" applyFont="1"/>
    <xf numFmtId="169" fontId="0" fillId="0" borderId="0" xfId="0" applyNumberFormat="1" applyAlignment="1">
      <alignment horizontal="center"/>
    </xf>
    <xf numFmtId="169" fontId="28" fillId="0" borderId="0" xfId="0" applyNumberFormat="1" applyFont="1" applyAlignment="1">
      <alignment horizontal="center"/>
    </xf>
    <xf numFmtId="169" fontId="0" fillId="0" borderId="0" xfId="0" applyNumberFormat="1">
      <alignment vertical="top"/>
    </xf>
    <xf numFmtId="180" fontId="35" fillId="0" borderId="0" xfId="0" applyFont="1">
      <alignment vertical="top"/>
    </xf>
    <xf numFmtId="180" fontId="13" fillId="0" borderId="0" xfId="0" applyFont="1" applyAlignment="1">
      <alignment horizontal="left" indent="2"/>
    </xf>
    <xf numFmtId="164" fontId="13" fillId="0" borderId="0" xfId="0" applyNumberFormat="1" applyFont="1">
      <alignment vertical="top"/>
    </xf>
    <xf numFmtId="164" fontId="14" fillId="0" borderId="0" xfId="1" applyNumberFormat="1" applyFont="1"/>
    <xf numFmtId="164" fontId="13" fillId="0" borderId="0" xfId="1" applyNumberFormat="1" applyFont="1"/>
    <xf numFmtId="180" fontId="21" fillId="0" borderId="16" xfId="0" applyFont="1" applyBorder="1">
      <alignment vertical="top"/>
    </xf>
    <xf numFmtId="164" fontId="21" fillId="0" borderId="16" xfId="1" applyNumberFormat="1" applyFont="1" applyBorder="1"/>
    <xf numFmtId="180" fontId="13" fillId="0" borderId="0" xfId="0" applyFont="1" applyAlignment="1">
      <alignment horizontal="left" indent="1"/>
    </xf>
    <xf numFmtId="164" fontId="21" fillId="0" borderId="0" xfId="1" applyNumberFormat="1" applyFont="1" applyBorder="1"/>
    <xf numFmtId="180" fontId="21" fillId="6" borderId="0" xfId="0" applyFont="1" applyFill="1">
      <alignment vertical="top"/>
    </xf>
    <xf numFmtId="164" fontId="21" fillId="6" borderId="0" xfId="0" applyNumberFormat="1" applyFont="1" applyFill="1">
      <alignment vertical="top"/>
    </xf>
    <xf numFmtId="43" fontId="13" fillId="3" borderId="0" xfId="0" applyNumberFormat="1" applyFont="1" applyFill="1">
      <alignment vertical="top"/>
    </xf>
    <xf numFmtId="9" fontId="13" fillId="3" borderId="0" xfId="0" applyNumberFormat="1" applyFont="1" applyFill="1">
      <alignment vertical="top"/>
    </xf>
    <xf numFmtId="180" fontId="37" fillId="2" borderId="0" xfId="0" applyFont="1" applyFill="1" applyAlignment="1">
      <alignment horizontal="center"/>
    </xf>
    <xf numFmtId="180" fontId="36" fillId="0" borderId="0" xfId="0" quotePrefix="1" applyFont="1" applyAlignment="1">
      <alignment horizontal="right"/>
    </xf>
    <xf numFmtId="180" fontId="21" fillId="0" borderId="0" xfId="0" applyFont="1">
      <alignment vertical="top"/>
    </xf>
    <xf numFmtId="180" fontId="20" fillId="0" borderId="0" xfId="0" applyFont="1">
      <alignment vertical="top"/>
    </xf>
    <xf numFmtId="164" fontId="20" fillId="0" borderId="0" xfId="1" applyNumberFormat="1" applyFont="1"/>
    <xf numFmtId="164" fontId="20" fillId="0" borderId="0" xfId="1" applyNumberFormat="1" applyFont="1" applyFill="1"/>
    <xf numFmtId="164" fontId="20" fillId="0" borderId="0" xfId="0" applyNumberFormat="1" applyFont="1">
      <alignment vertical="top"/>
    </xf>
    <xf numFmtId="164" fontId="14" fillId="0" borderId="16" xfId="1" applyNumberFormat="1" applyFont="1" applyBorder="1"/>
    <xf numFmtId="164" fontId="14" fillId="0" borderId="0" xfId="1" applyNumberFormat="1" applyFont="1" applyBorder="1"/>
    <xf numFmtId="164" fontId="14" fillId="6" borderId="0" xfId="0" applyNumberFormat="1" applyFont="1" applyFill="1">
      <alignment vertical="top"/>
    </xf>
    <xf numFmtId="181" fontId="16" fillId="4" borderId="0" xfId="10" applyFont="1" applyFill="1" applyBorder="1" applyAlignment="1" applyProtection="1">
      <alignment vertical="center"/>
      <protection locked="0"/>
    </xf>
    <xf numFmtId="180" fontId="0" fillId="0" borderId="0" xfId="0" applyAlignment="1">
      <alignment horizontal="right"/>
    </xf>
    <xf numFmtId="180" fontId="20" fillId="0" borderId="0" xfId="0" quotePrefix="1" applyFont="1" applyAlignment="1">
      <alignment horizontal="right"/>
    </xf>
    <xf numFmtId="170" fontId="19" fillId="0" borderId="0" xfId="0" applyNumberFormat="1" applyFont="1">
      <alignment vertical="top"/>
    </xf>
    <xf numFmtId="171" fontId="13" fillId="0" borderId="0" xfId="0" applyNumberFormat="1" applyFont="1">
      <alignment vertical="top"/>
    </xf>
    <xf numFmtId="164" fontId="0" fillId="0" borderId="0" xfId="1" applyNumberFormat="1" applyFont="1" applyFill="1" applyBorder="1"/>
    <xf numFmtId="164" fontId="0" fillId="0" borderId="0" xfId="1" applyNumberFormat="1" applyFont="1" applyFill="1" applyBorder="1" applyAlignment="1">
      <alignment wrapText="1"/>
    </xf>
    <xf numFmtId="164" fontId="0" fillId="0" borderId="0" xfId="1" applyNumberFormat="1" applyFont="1" applyFill="1" applyBorder="1" applyAlignment="1"/>
    <xf numFmtId="180" fontId="34" fillId="15" borderId="8" xfId="0" applyFont="1" applyFill="1" applyBorder="1">
      <alignment vertical="top"/>
    </xf>
    <xf numFmtId="180" fontId="34" fillId="15" borderId="0" xfId="0" applyFont="1" applyFill="1">
      <alignment vertical="top"/>
    </xf>
    <xf numFmtId="180" fontId="28" fillId="0" borderId="0" xfId="0" applyFont="1" applyAlignment="1">
      <alignment wrapText="1"/>
    </xf>
    <xf numFmtId="180" fontId="0" fillId="0" borderId="0" xfId="0" applyAlignment="1">
      <alignment horizontal="left" wrapText="1"/>
    </xf>
    <xf numFmtId="0" fontId="4" fillId="0" borderId="0" xfId="8" applyAlignment="1">
      <alignment horizontal="right"/>
    </xf>
    <xf numFmtId="180" fontId="14" fillId="0" borderId="2" xfId="0" applyFont="1" applyBorder="1" applyAlignment="1">
      <alignment horizontal="center"/>
    </xf>
    <xf numFmtId="164" fontId="38" fillId="0" borderId="0" xfId="1" applyNumberFormat="1" applyFont="1"/>
    <xf numFmtId="167" fontId="20" fillId="0" borderId="0" xfId="10" applyNumberFormat="1" applyFont="1">
      <alignment vertical="top"/>
    </xf>
    <xf numFmtId="167" fontId="20" fillId="0" borderId="0" xfId="0" applyNumberFormat="1" applyFont="1">
      <alignment vertical="top"/>
    </xf>
    <xf numFmtId="167" fontId="13" fillId="0" borderId="0" xfId="0" applyNumberFormat="1" applyFont="1">
      <alignment vertical="top"/>
    </xf>
    <xf numFmtId="164" fontId="37" fillId="2" borderId="0" xfId="0" applyNumberFormat="1" applyFont="1" applyFill="1" applyAlignment="1">
      <alignment horizontal="center"/>
    </xf>
    <xf numFmtId="167" fontId="38" fillId="0" borderId="0" xfId="10" applyNumberFormat="1" applyFont="1">
      <alignment vertical="top"/>
    </xf>
    <xf numFmtId="2" fontId="38" fillId="0" borderId="0" xfId="10" applyNumberFormat="1" applyFont="1">
      <alignment vertical="top"/>
    </xf>
    <xf numFmtId="2" fontId="20" fillId="0" borderId="0" xfId="10" applyNumberFormat="1" applyFont="1">
      <alignment vertical="top"/>
    </xf>
    <xf numFmtId="180" fontId="33" fillId="16" borderId="0" xfId="0" applyFont="1" applyFill="1">
      <alignment vertical="top"/>
    </xf>
    <xf numFmtId="180" fontId="33" fillId="16" borderId="0" xfId="0" applyFont="1" applyFill="1" applyAlignment="1">
      <alignment horizontal="center"/>
    </xf>
    <xf numFmtId="180" fontId="33" fillId="5" borderId="0" xfId="0" applyFont="1" applyFill="1">
      <alignment vertical="top"/>
    </xf>
    <xf numFmtId="180" fontId="39" fillId="0" borderId="0" xfId="0" applyFont="1">
      <alignment vertical="top"/>
    </xf>
    <xf numFmtId="180" fontId="40" fillId="0" borderId="0" xfId="0" applyFont="1">
      <alignment vertical="top"/>
    </xf>
    <xf numFmtId="172" fontId="0" fillId="0" borderId="0" xfId="0" applyNumberFormat="1">
      <alignment vertical="top"/>
    </xf>
    <xf numFmtId="180" fontId="41" fillId="0" borderId="0" xfId="0" applyFont="1">
      <alignment vertical="top"/>
    </xf>
    <xf numFmtId="180" fontId="33" fillId="0" borderId="0" xfId="0" applyFont="1">
      <alignment vertical="top"/>
    </xf>
    <xf numFmtId="180" fontId="33" fillId="0" borderId="0" xfId="0" applyFont="1" applyAlignment="1">
      <alignment horizontal="center"/>
    </xf>
    <xf numFmtId="169" fontId="33" fillId="10" borderId="0" xfId="0" applyNumberFormat="1" applyFont="1" applyFill="1" applyAlignment="1">
      <alignment horizontal="center"/>
    </xf>
    <xf numFmtId="44" fontId="16" fillId="4" borderId="0" xfId="9" applyNumberFormat="1" applyFont="1" applyFill="1" applyBorder="1" applyAlignment="1" applyProtection="1">
      <alignment horizontal="right" vertical="center"/>
      <protection locked="0"/>
    </xf>
    <xf numFmtId="181" fontId="0" fillId="0" borderId="0" xfId="10" applyFont="1">
      <alignment vertical="top"/>
    </xf>
    <xf numFmtId="44" fontId="0" fillId="3" borderId="0" xfId="0" applyNumberFormat="1" applyFill="1">
      <alignment vertical="top"/>
    </xf>
    <xf numFmtId="44" fontId="44" fillId="3" borderId="0" xfId="0" applyNumberFormat="1" applyFont="1" applyFill="1">
      <alignment vertical="top"/>
    </xf>
    <xf numFmtId="180" fontId="44" fillId="3" borderId="0" xfId="0" applyFont="1" applyFill="1">
      <alignment vertical="top"/>
    </xf>
    <xf numFmtId="180" fontId="46" fillId="3" borderId="0" xfId="0" applyFont="1" applyFill="1">
      <alignment vertical="top"/>
    </xf>
    <xf numFmtId="169" fontId="33" fillId="12" borderId="0" xfId="0" applyNumberFormat="1" applyFont="1" applyFill="1" applyAlignment="1">
      <alignment horizontal="center"/>
    </xf>
    <xf numFmtId="180" fontId="47" fillId="0" borderId="0" xfId="0" applyFont="1">
      <alignment vertical="top"/>
    </xf>
    <xf numFmtId="10" fontId="16" fillId="4" borderId="0" xfId="10" applyNumberFormat="1" applyFont="1" applyFill="1" applyBorder="1" applyAlignment="1" applyProtection="1">
      <alignment horizontal="right" vertical="center"/>
      <protection locked="0"/>
    </xf>
    <xf numFmtId="180" fontId="45" fillId="0" borderId="0" xfId="0" applyFont="1">
      <alignment vertical="top"/>
    </xf>
    <xf numFmtId="168" fontId="44" fillId="3" borderId="0" xfId="0" applyNumberFormat="1" applyFont="1" applyFill="1">
      <alignment vertical="top"/>
    </xf>
    <xf numFmtId="180" fontId="48" fillId="2" borderId="0" xfId="0" applyFont="1" applyFill="1">
      <alignment vertical="top"/>
    </xf>
    <xf numFmtId="180" fontId="2" fillId="0" borderId="28" xfId="0" applyFont="1" applyBorder="1" applyAlignment="1">
      <alignment horizontal="center"/>
    </xf>
    <xf numFmtId="44" fontId="2" fillId="0" borderId="5" xfId="0" applyNumberFormat="1" applyFont="1" applyBorder="1">
      <alignment vertical="top"/>
    </xf>
    <xf numFmtId="180" fontId="2" fillId="0" borderId="6" xfId="0" applyFont="1" applyBorder="1" applyAlignment="1">
      <alignment horizontal="center"/>
    </xf>
    <xf numFmtId="1" fontId="0" fillId="0" borderId="17" xfId="0" applyNumberFormat="1" applyBorder="1" applyAlignment="1">
      <alignment horizontal="right" indent="1"/>
    </xf>
    <xf numFmtId="44" fontId="0" fillId="0" borderId="31" xfId="0" applyNumberFormat="1" applyBorder="1">
      <alignment vertical="top"/>
    </xf>
    <xf numFmtId="180" fontId="15" fillId="0" borderId="1" xfId="0" applyFont="1" applyBorder="1" applyProtection="1">
      <alignment vertical="top"/>
      <protection locked="0"/>
    </xf>
    <xf numFmtId="37" fontId="49" fillId="0" borderId="1" xfId="2" applyNumberFormat="1" applyFont="1" applyFill="1" applyBorder="1" applyAlignment="1" applyProtection="1">
      <alignment horizontal="center" vertical="center"/>
      <protection locked="0"/>
    </xf>
    <xf numFmtId="1" fontId="49" fillId="0" borderId="1" xfId="0" applyNumberFormat="1" applyFont="1" applyBorder="1" applyAlignment="1">
      <alignment horizontal="center"/>
    </xf>
    <xf numFmtId="180" fontId="50" fillId="0" borderId="20" xfId="0" applyFont="1" applyBorder="1" applyAlignment="1">
      <alignment horizontal="center" vertical="center" wrapText="1"/>
    </xf>
    <xf numFmtId="180" fontId="50" fillId="0" borderId="0" xfId="0" applyFont="1" applyAlignment="1">
      <alignment horizontal="center" vertical="center" wrapText="1"/>
    </xf>
    <xf numFmtId="180" fontId="2" fillId="17" borderId="30" xfId="0" applyFont="1" applyFill="1" applyBorder="1" applyAlignment="1">
      <alignment horizontal="center"/>
    </xf>
    <xf numFmtId="44" fontId="2" fillId="17" borderId="1" xfId="0" applyNumberFormat="1" applyFont="1" applyFill="1" applyBorder="1">
      <alignment vertical="top"/>
    </xf>
    <xf numFmtId="180" fontId="2" fillId="17" borderId="1" xfId="0" applyFont="1" applyFill="1" applyBorder="1" applyAlignment="1">
      <alignment horizontal="center"/>
    </xf>
    <xf numFmtId="180" fontId="2" fillId="17" borderId="1" xfId="0" applyFont="1" applyFill="1" applyBorder="1" applyAlignment="1">
      <alignment horizontal="center" wrapText="1"/>
    </xf>
    <xf numFmtId="180" fontId="2" fillId="17" borderId="31" xfId="0" applyFont="1" applyFill="1" applyBorder="1" applyAlignment="1">
      <alignment horizontal="center"/>
    </xf>
    <xf numFmtId="180" fontId="2" fillId="17" borderId="28" xfId="0" applyFont="1" applyFill="1" applyBorder="1" applyAlignment="1">
      <alignment horizontal="center" wrapText="1"/>
    </xf>
    <xf numFmtId="180" fontId="50" fillId="0" borderId="0" xfId="0" applyFont="1" applyAlignment="1">
      <alignment horizontal="right"/>
    </xf>
    <xf numFmtId="44" fontId="51" fillId="0" borderId="0" xfId="0" applyNumberFormat="1" applyFont="1" applyAlignment="1">
      <alignment horizontal="right" vertical="center"/>
    </xf>
    <xf numFmtId="44" fontId="51" fillId="0" borderId="0" xfId="0" applyNumberFormat="1" applyFont="1" applyAlignment="1">
      <alignment wrapText="1"/>
    </xf>
    <xf numFmtId="3" fontId="50" fillId="0" borderId="0" xfId="0" applyNumberFormat="1" applyFont="1" applyAlignment="1">
      <alignment horizontal="center" vertical="center" wrapText="1"/>
    </xf>
    <xf numFmtId="44" fontId="49" fillId="0" borderId="14" xfId="0" applyNumberFormat="1" applyFont="1" applyBorder="1">
      <alignment vertical="top"/>
    </xf>
    <xf numFmtId="44" fontId="50" fillId="0" borderId="24" xfId="0" applyNumberFormat="1" applyFont="1" applyBorder="1">
      <alignment vertical="top"/>
    </xf>
    <xf numFmtId="180" fontId="50" fillId="0" borderId="24" xfId="0" applyFont="1" applyBorder="1" applyAlignment="1">
      <alignment horizontal="center" vertical="center" wrapText="1"/>
    </xf>
    <xf numFmtId="4" fontId="52" fillId="0" borderId="24" xfId="0" applyNumberFormat="1" applyFont="1" applyBorder="1" applyAlignment="1">
      <alignment horizontal="center" vertical="center" wrapText="1"/>
    </xf>
    <xf numFmtId="167" fontId="52" fillId="0" borderId="24" xfId="10" applyNumberFormat="1" applyFont="1" applyBorder="1" applyAlignment="1">
      <alignment horizontal="center" vertical="center" wrapText="1"/>
    </xf>
    <xf numFmtId="10" fontId="52" fillId="0" borderId="24" xfId="10" applyNumberFormat="1" applyFont="1" applyBorder="1" applyAlignment="1">
      <alignment horizontal="center" vertical="center" wrapText="1"/>
    </xf>
    <xf numFmtId="37" fontId="15" fillId="0" borderId="1" xfId="0" applyNumberFormat="1" applyFont="1" applyBorder="1" applyProtection="1">
      <alignment vertical="top"/>
      <protection locked="0"/>
    </xf>
    <xf numFmtId="44" fontId="53" fillId="0" borderId="24" xfId="2" applyFont="1" applyBorder="1" applyAlignment="1">
      <alignment horizontal="center" vertical="center" wrapText="1"/>
    </xf>
    <xf numFmtId="180" fontId="50" fillId="0" borderId="20" xfId="0" applyFont="1" applyBorder="1" applyAlignment="1">
      <alignment vertical="center" wrapText="1"/>
    </xf>
    <xf numFmtId="180" fontId="50" fillId="0" borderId="21" xfId="0" applyFont="1" applyBorder="1" applyAlignment="1">
      <alignment vertical="center" wrapText="1"/>
    </xf>
    <xf numFmtId="180" fontId="50" fillId="0" borderId="22" xfId="0" applyFont="1" applyBorder="1" applyAlignment="1">
      <alignment vertical="center" wrapText="1"/>
    </xf>
    <xf numFmtId="180" fontId="50" fillId="0" borderId="2" xfId="0" applyFont="1" applyBorder="1" applyAlignment="1">
      <alignment vertical="center" wrapText="1"/>
    </xf>
    <xf numFmtId="180" fontId="50" fillId="0" borderId="23" xfId="0" applyFont="1" applyBorder="1" applyAlignment="1">
      <alignment vertical="center" wrapText="1"/>
    </xf>
    <xf numFmtId="44" fontId="50" fillId="0" borderId="24" xfId="0" applyNumberFormat="1" applyFont="1" applyBorder="1" applyAlignment="1">
      <alignment horizontal="center" wrapText="1"/>
    </xf>
    <xf numFmtId="181" fontId="49" fillId="0" borderId="1" xfId="10" applyFont="1" applyFill="1" applyBorder="1" applyAlignment="1" applyProtection="1">
      <alignment horizontal="center" vertical="center"/>
      <protection locked="0"/>
    </xf>
    <xf numFmtId="2" fontId="52" fillId="0" borderId="24" xfId="10" applyNumberFormat="1" applyFont="1" applyBorder="1" applyAlignment="1">
      <alignment horizontal="center" vertical="center" wrapText="1"/>
    </xf>
    <xf numFmtId="2" fontId="0" fillId="0" borderId="1" xfId="0" applyNumberFormat="1" applyBorder="1" applyAlignment="1">
      <alignment horizontal="center"/>
    </xf>
    <xf numFmtId="2" fontId="0" fillId="0" borderId="14" xfId="0" applyNumberFormat="1" applyBorder="1" applyAlignment="1">
      <alignment horizontal="center"/>
    </xf>
    <xf numFmtId="2" fontId="49" fillId="0" borderId="14" xfId="0" applyNumberFormat="1" applyFont="1" applyBorder="1" applyAlignment="1">
      <alignment horizontal="center"/>
    </xf>
    <xf numFmtId="44" fontId="52" fillId="0" borderId="24" xfId="2" applyFont="1" applyBorder="1" applyAlignment="1">
      <alignment horizontal="center" vertical="center" wrapText="1"/>
    </xf>
    <xf numFmtId="180" fontId="15" fillId="0" borderId="30" xfId="0" applyFont="1" applyBorder="1" applyAlignment="1" applyProtection="1">
      <alignment horizontal="center"/>
      <protection locked="0"/>
    </xf>
    <xf numFmtId="44" fontId="0" fillId="0" borderId="32" xfId="0" applyNumberFormat="1" applyBorder="1">
      <alignment vertical="top"/>
    </xf>
    <xf numFmtId="44" fontId="49" fillId="0" borderId="32" xfId="0" applyNumberFormat="1" applyFont="1" applyBorder="1">
      <alignment vertical="top"/>
    </xf>
    <xf numFmtId="180" fontId="50" fillId="0" borderId="0" xfId="0" applyFont="1" applyAlignment="1">
      <alignment vertical="center" wrapText="1"/>
    </xf>
    <xf numFmtId="44" fontId="28" fillId="0" borderId="1" xfId="0" applyNumberFormat="1" applyFont="1" applyBorder="1">
      <alignment vertical="top"/>
    </xf>
    <xf numFmtId="10" fontId="16" fillId="4" borderId="0" xfId="10" applyNumberFormat="1" applyFont="1" applyFill="1" applyBorder="1" applyAlignment="1" applyProtection="1">
      <alignment vertical="center"/>
      <protection locked="0"/>
    </xf>
    <xf numFmtId="164" fontId="16" fillId="4" borderId="0" xfId="9" applyNumberFormat="1" applyFont="1" applyFill="1" applyBorder="1" applyAlignment="1" applyProtection="1">
      <alignment vertical="center"/>
    </xf>
    <xf numFmtId="166" fontId="54" fillId="4" borderId="0" xfId="9" applyNumberFormat="1" applyFont="1" applyFill="1" applyBorder="1" applyAlignment="1" applyProtection="1">
      <alignment horizontal="right" vertical="center"/>
      <protection locked="0"/>
    </xf>
    <xf numFmtId="180" fontId="55" fillId="0" borderId="0" xfId="0" applyFont="1" applyAlignment="1">
      <alignment wrapText="1"/>
    </xf>
    <xf numFmtId="180" fontId="56" fillId="0" borderId="0" xfId="0" applyFont="1" applyAlignment="1">
      <alignment vertical="top" wrapText="1"/>
    </xf>
    <xf numFmtId="180" fontId="57" fillId="0" borderId="0" xfId="0" applyFont="1" applyAlignment="1">
      <alignment horizontal="left" vertical="center" wrapText="1"/>
    </xf>
    <xf numFmtId="180" fontId="57" fillId="0" borderId="0" xfId="0" applyFont="1" applyAlignment="1">
      <alignment horizontal="left" wrapText="1"/>
    </xf>
    <xf numFmtId="2" fontId="58" fillId="0" borderId="0" xfId="0" applyNumberFormat="1" applyFont="1" applyAlignment="1">
      <alignment horizontal="left" vertical="top" shrinkToFit="1"/>
    </xf>
    <xf numFmtId="180" fontId="55" fillId="0" borderId="0" xfId="0" applyFont="1" applyAlignment="1">
      <alignment vertical="top" wrapText="1"/>
    </xf>
    <xf numFmtId="180" fontId="57" fillId="0" borderId="0" xfId="0" applyFont="1" applyAlignment="1">
      <alignment horizontal="left" vertical="top" wrapText="1"/>
    </xf>
    <xf numFmtId="2" fontId="58" fillId="0" borderId="0" xfId="0" applyNumberFormat="1" applyFont="1" applyAlignment="1">
      <alignment vertical="top" shrinkToFit="1"/>
    </xf>
    <xf numFmtId="4" fontId="58" fillId="0" borderId="0" xfId="0" applyNumberFormat="1" applyFont="1" applyAlignment="1">
      <alignment horizontal="left" vertical="top" indent="1" shrinkToFit="1"/>
    </xf>
    <xf numFmtId="4" fontId="58" fillId="0" borderId="0" xfId="0" applyNumberFormat="1" applyFont="1" applyAlignment="1">
      <alignment horizontal="right" vertical="top" shrinkToFit="1"/>
    </xf>
    <xf numFmtId="2" fontId="58" fillId="0" borderId="0" xfId="0" applyNumberFormat="1" applyFont="1" applyAlignment="1">
      <alignment vertical="center" shrinkToFit="1"/>
    </xf>
    <xf numFmtId="4" fontId="58" fillId="0" borderId="0" xfId="0" applyNumberFormat="1" applyFont="1" applyAlignment="1">
      <alignment horizontal="left" vertical="center" indent="1" shrinkToFit="1"/>
    </xf>
    <xf numFmtId="4" fontId="58" fillId="0" borderId="0" xfId="0" applyNumberFormat="1" applyFont="1" applyAlignment="1">
      <alignment horizontal="right" vertical="center" shrinkToFit="1"/>
    </xf>
    <xf numFmtId="4" fontId="58" fillId="0" borderId="0" xfId="0" applyNumberFormat="1" applyFont="1" applyAlignment="1">
      <alignment vertical="center" shrinkToFit="1"/>
    </xf>
    <xf numFmtId="180" fontId="59" fillId="0" borderId="0" xfId="0" applyFont="1" applyAlignment="1">
      <alignment vertical="center" wrapText="1"/>
    </xf>
    <xf numFmtId="0" fontId="0" fillId="0" borderId="0" xfId="2" applyNumberFormat="1" applyFont="1"/>
    <xf numFmtId="180" fontId="22" fillId="2" borderId="0" xfId="0" applyFont="1" applyFill="1">
      <alignment vertical="top"/>
    </xf>
    <xf numFmtId="175" fontId="16" fillId="4" borderId="0" xfId="12" applyFont="1" applyFill="1" applyBorder="1" applyAlignment="1" applyProtection="1">
      <alignment vertical="center"/>
      <protection locked="0"/>
    </xf>
    <xf numFmtId="175" fontId="13" fillId="0" borderId="0" xfId="12" applyFont="1" applyFill="1" applyAlignment="1" applyProtection="1"/>
    <xf numFmtId="175" fontId="16" fillId="4" borderId="0" xfId="12" applyFont="1" applyFill="1" applyBorder="1" applyAlignment="1" applyProtection="1">
      <alignment horizontal="right" vertical="center"/>
      <protection locked="0"/>
    </xf>
    <xf numFmtId="1" fontId="16" fillId="4" borderId="0" xfId="12" applyNumberFormat="1" applyFont="1" applyFill="1" applyBorder="1" applyAlignment="1" applyProtection="1">
      <alignment vertical="center"/>
      <protection locked="0"/>
    </xf>
    <xf numFmtId="176" fontId="4" fillId="0" borderId="0" xfId="13" applyFont="1" applyFill="1" applyBorder="1" applyAlignment="1" applyProtection="1"/>
    <xf numFmtId="176" fontId="14" fillId="0" borderId="0" xfId="13" applyFont="1" applyFill="1" applyBorder="1" applyAlignment="1" applyProtection="1"/>
    <xf numFmtId="176" fontId="4" fillId="4" borderId="0" xfId="13" applyFont="1" applyFill="1" applyBorder="1" applyAlignment="1" applyProtection="1">
      <alignment vertical="center"/>
      <protection locked="0"/>
    </xf>
    <xf numFmtId="176" fontId="32" fillId="0" borderId="0" xfId="13" applyFont="1" applyFill="1" applyAlignment="1" applyProtection="1"/>
    <xf numFmtId="0" fontId="14" fillId="0" borderId="2" xfId="13" applyNumberFormat="1" applyFont="1" applyFill="1" applyBorder="1" applyAlignment="1" applyProtection="1">
      <alignment horizontal="center"/>
    </xf>
    <xf numFmtId="176" fontId="38" fillId="0" borderId="0" xfId="13" applyFont="1" applyFill="1" applyAlignment="1" applyProtection="1"/>
    <xf numFmtId="176" fontId="20" fillId="0" borderId="0" xfId="13" applyFont="1" applyFill="1" applyAlignment="1" applyProtection="1"/>
    <xf numFmtId="176" fontId="14" fillId="0" borderId="0" xfId="13" applyFont="1" applyFill="1" applyAlignment="1" applyProtection="1"/>
    <xf numFmtId="176" fontId="14" fillId="0" borderId="16" xfId="13" applyFont="1" applyFill="1" applyBorder="1" applyAlignment="1" applyProtection="1"/>
    <xf numFmtId="176" fontId="14" fillId="6" borderId="0" xfId="13" applyFont="1" applyFill="1" applyAlignment="1" applyProtection="1"/>
    <xf numFmtId="166" fontId="60" fillId="3" borderId="0" xfId="9" applyNumberFormat="1" applyFont="1" applyFill="1" applyBorder="1" applyAlignment="1" applyProtection="1">
      <alignment vertical="center"/>
      <protection locked="0"/>
    </xf>
    <xf numFmtId="14" fontId="16" fillId="4" borderId="0" xfId="10" applyNumberFormat="1" applyFont="1" applyFill="1" applyBorder="1" applyAlignment="1" applyProtection="1">
      <alignment horizontal="right" vertical="center"/>
      <protection locked="0"/>
    </xf>
    <xf numFmtId="14" fontId="16" fillId="4" borderId="0" xfId="9" applyNumberFormat="1" applyFont="1" applyFill="1" applyBorder="1" applyAlignment="1" applyProtection="1">
      <alignment vertical="center"/>
      <protection locked="0"/>
    </xf>
    <xf numFmtId="14" fontId="0" fillId="0" borderId="0" xfId="0" applyNumberFormat="1">
      <alignment vertical="top"/>
    </xf>
    <xf numFmtId="0" fontId="61" fillId="0" borderId="20" xfId="4" applyFont="1" applyBorder="1"/>
    <xf numFmtId="41" fontId="0" fillId="0" borderId="0" xfId="0" applyNumberFormat="1">
      <alignment vertical="top"/>
    </xf>
    <xf numFmtId="180" fontId="0" fillId="18" borderId="5" xfId="0" applyFill="1" applyBorder="1">
      <alignment vertical="top"/>
    </xf>
    <xf numFmtId="180" fontId="0" fillId="18" borderId="13" xfId="0" applyFill="1" applyBorder="1">
      <alignment vertical="top"/>
    </xf>
    <xf numFmtId="180" fontId="0" fillId="18" borderId="6" xfId="0" applyFill="1" applyBorder="1">
      <alignment vertical="top"/>
    </xf>
    <xf numFmtId="180" fontId="0" fillId="18" borderId="8" xfId="0" applyFill="1" applyBorder="1">
      <alignment vertical="top"/>
    </xf>
    <xf numFmtId="180" fontId="0" fillId="18" borderId="0" xfId="0" applyFill="1">
      <alignment vertical="top"/>
    </xf>
    <xf numFmtId="180" fontId="0" fillId="18" borderId="9" xfId="0" applyFill="1" applyBorder="1">
      <alignment vertical="top"/>
    </xf>
    <xf numFmtId="41" fontId="0" fillId="18" borderId="0" xfId="0" applyNumberFormat="1" applyFill="1">
      <alignment vertical="top"/>
    </xf>
    <xf numFmtId="43" fontId="0" fillId="18" borderId="9" xfId="0" applyNumberFormat="1" applyFill="1" applyBorder="1">
      <alignment vertical="top"/>
    </xf>
    <xf numFmtId="180" fontId="0" fillId="18" borderId="11" xfId="0" applyFill="1" applyBorder="1">
      <alignment vertical="top"/>
    </xf>
    <xf numFmtId="180" fontId="0" fillId="18" borderId="7" xfId="0" applyFill="1" applyBorder="1">
      <alignment vertical="top"/>
    </xf>
    <xf numFmtId="180" fontId="0" fillId="18" borderId="12" xfId="0" applyFill="1" applyBorder="1">
      <alignment vertical="top"/>
    </xf>
    <xf numFmtId="180" fontId="0" fillId="19" borderId="5" xfId="0" applyFill="1" applyBorder="1">
      <alignment vertical="top"/>
    </xf>
    <xf numFmtId="180" fontId="0" fillId="19" borderId="13" xfId="0" applyFill="1" applyBorder="1">
      <alignment vertical="top"/>
    </xf>
    <xf numFmtId="180" fontId="0" fillId="19" borderId="6" xfId="0" applyFill="1" applyBorder="1">
      <alignment vertical="top"/>
    </xf>
    <xf numFmtId="180" fontId="0" fillId="19" borderId="8" xfId="0" applyFill="1" applyBorder="1">
      <alignment vertical="top"/>
    </xf>
    <xf numFmtId="180" fontId="0" fillId="19" borderId="0" xfId="0" applyFill="1">
      <alignment vertical="top"/>
    </xf>
    <xf numFmtId="180" fontId="0" fillId="19" borderId="9" xfId="0" applyFill="1" applyBorder="1">
      <alignment vertical="top"/>
    </xf>
    <xf numFmtId="180" fontId="0" fillId="19" borderId="11" xfId="0" applyFill="1" applyBorder="1">
      <alignment vertical="top"/>
    </xf>
    <xf numFmtId="180" fontId="0" fillId="19" borderId="7" xfId="0" applyFill="1" applyBorder="1">
      <alignment vertical="top"/>
    </xf>
    <xf numFmtId="41" fontId="0" fillId="19" borderId="7" xfId="0" applyNumberFormat="1" applyFill="1" applyBorder="1">
      <alignment vertical="top"/>
    </xf>
    <xf numFmtId="43" fontId="0" fillId="19" borderId="12" xfId="0" applyNumberFormat="1" applyFill="1" applyBorder="1">
      <alignment vertical="top"/>
    </xf>
    <xf numFmtId="180" fontId="0" fillId="17" borderId="5" xfId="0" applyFill="1" applyBorder="1">
      <alignment vertical="top"/>
    </xf>
    <xf numFmtId="180" fontId="0" fillId="17" borderId="6" xfId="0" applyFill="1" applyBorder="1">
      <alignment vertical="top"/>
    </xf>
    <xf numFmtId="180" fontId="0" fillId="17" borderId="8" xfId="0" applyFill="1" applyBorder="1">
      <alignment vertical="top"/>
    </xf>
    <xf numFmtId="180" fontId="0" fillId="17" borderId="9" xfId="0" applyFill="1" applyBorder="1">
      <alignment vertical="top"/>
    </xf>
    <xf numFmtId="180" fontId="0" fillId="17" borderId="11" xfId="0" applyFill="1" applyBorder="1">
      <alignment vertical="top"/>
    </xf>
    <xf numFmtId="180" fontId="0" fillId="17" borderId="12" xfId="0" applyFill="1" applyBorder="1">
      <alignment vertical="top"/>
    </xf>
    <xf numFmtId="180" fontId="64" fillId="3" borderId="0" xfId="0" applyFont="1" applyFill="1">
      <alignment vertical="top"/>
    </xf>
    <xf numFmtId="168" fontId="64" fillId="3" borderId="0" xfId="0" applyNumberFormat="1" applyFont="1" applyFill="1">
      <alignment vertical="top"/>
    </xf>
    <xf numFmtId="177" fontId="44" fillId="3" borderId="0" xfId="0" applyNumberFormat="1" applyFont="1" applyFill="1">
      <alignment vertical="top"/>
    </xf>
    <xf numFmtId="180" fontId="2" fillId="0" borderId="3" xfId="0" applyFont="1" applyBorder="1">
      <alignment vertical="top"/>
    </xf>
    <xf numFmtId="178" fontId="13" fillId="0" borderId="0" xfId="0" applyNumberFormat="1" applyFont="1">
      <alignment vertical="top"/>
    </xf>
    <xf numFmtId="178" fontId="20" fillId="4" borderId="0" xfId="2" applyNumberFormat="1" applyFont="1" applyFill="1" applyBorder="1" applyAlignment="1" applyProtection="1">
      <alignment vertical="center"/>
      <protection locked="0"/>
    </xf>
    <xf numFmtId="178" fontId="14" fillId="0" borderId="3" xfId="0" applyNumberFormat="1" applyFont="1" applyBorder="1">
      <alignment vertical="top"/>
    </xf>
    <xf numFmtId="178" fontId="14" fillId="4" borderId="3" xfId="2" applyNumberFormat="1" applyFont="1" applyFill="1" applyBorder="1" applyAlignment="1" applyProtection="1">
      <alignment vertical="center"/>
      <protection locked="0"/>
    </xf>
    <xf numFmtId="178" fontId="16" fillId="4" borderId="0" xfId="9" applyNumberFormat="1" applyFont="1" applyFill="1" applyBorder="1" applyAlignment="1" applyProtection="1">
      <alignment vertical="center"/>
      <protection locked="0"/>
    </xf>
    <xf numFmtId="178" fontId="17" fillId="5" borderId="0" xfId="2" applyNumberFormat="1" applyFont="1" applyFill="1" applyBorder="1" applyAlignment="1" applyProtection="1">
      <alignment vertical="center"/>
      <protection locked="0"/>
    </xf>
    <xf numFmtId="178" fontId="23" fillId="4" borderId="3" xfId="9" applyNumberFormat="1" applyFont="1" applyFill="1" applyBorder="1"/>
    <xf numFmtId="178" fontId="65" fillId="5" borderId="3" xfId="2" applyNumberFormat="1" applyFont="1" applyFill="1" applyBorder="1"/>
    <xf numFmtId="164" fontId="16" fillId="4" borderId="0" xfId="1" applyNumberFormat="1" applyFont="1" applyFill="1" applyBorder="1" applyAlignment="1" applyProtection="1">
      <alignment vertical="center"/>
      <protection locked="0"/>
    </xf>
    <xf numFmtId="180" fontId="12" fillId="20" borderId="0" xfId="0" quotePrefix="1" applyFont="1" applyFill="1" applyAlignment="1">
      <alignment horizontal="left"/>
    </xf>
    <xf numFmtId="180" fontId="13" fillId="20" borderId="0" xfId="0" applyFont="1" applyFill="1">
      <alignment vertical="top"/>
    </xf>
    <xf numFmtId="0" fontId="4" fillId="20" borderId="0" xfId="8" applyFill="1"/>
    <xf numFmtId="180" fontId="14" fillId="20" borderId="2" xfId="0" applyFont="1" applyFill="1" applyBorder="1">
      <alignment vertical="top"/>
    </xf>
    <xf numFmtId="180" fontId="0" fillId="20" borderId="0" xfId="0" applyFill="1">
      <alignment vertical="top"/>
    </xf>
    <xf numFmtId="166" fontId="20" fillId="20" borderId="0" xfId="9" applyNumberFormat="1" applyFont="1" applyFill="1"/>
    <xf numFmtId="166" fontId="17" fillId="20" borderId="0" xfId="9" applyNumberFormat="1" applyFont="1" applyFill="1"/>
    <xf numFmtId="180" fontId="2" fillId="20" borderId="3" xfId="0" applyFont="1" applyFill="1" applyBorder="1">
      <alignment vertical="top"/>
    </xf>
    <xf numFmtId="166" fontId="23" fillId="4" borderId="3" xfId="9" applyNumberFormat="1" applyFont="1" applyFill="1" applyBorder="1"/>
    <xf numFmtId="0" fontId="46" fillId="3" borderId="0" xfId="15" applyFont="1" applyFill="1"/>
    <xf numFmtId="180" fontId="45" fillId="3" borderId="0" xfId="0" applyFont="1" applyFill="1">
      <alignment vertical="top"/>
    </xf>
    <xf numFmtId="44" fontId="0" fillId="0" borderId="0" xfId="2" applyFont="1" applyAlignment="1">
      <alignment vertical="top"/>
    </xf>
    <xf numFmtId="180" fontId="0" fillId="0" borderId="0" xfId="0" applyFont="1">
      <alignment vertical="top"/>
    </xf>
    <xf numFmtId="178" fontId="0" fillId="0" borderId="0" xfId="2" applyNumberFormat="1" applyFont="1" applyAlignment="1">
      <alignment vertical="top"/>
    </xf>
    <xf numFmtId="178" fontId="0" fillId="0" borderId="0" xfId="2" applyNumberFormat="1" applyFont="1" applyFill="1" applyAlignment="1">
      <alignment vertical="top"/>
    </xf>
    <xf numFmtId="179" fontId="0" fillId="0" borderId="0" xfId="10" applyNumberFormat="1" applyFont="1">
      <alignment vertical="top"/>
    </xf>
    <xf numFmtId="180" fontId="0" fillId="0" borderId="0" xfId="0" applyFont="1" applyFill="1">
      <alignment vertical="top"/>
    </xf>
    <xf numFmtId="183" fontId="0" fillId="0" borderId="0" xfId="0" applyNumberFormat="1" applyFont="1" applyFill="1">
      <alignment vertical="top"/>
    </xf>
    <xf numFmtId="179" fontId="0" fillId="0" borderId="0" xfId="10" applyNumberFormat="1" applyFont="1" applyFill="1">
      <alignment vertical="top"/>
    </xf>
    <xf numFmtId="44" fontId="13" fillId="0" borderId="19" xfId="0" applyNumberFormat="1" applyFont="1" applyBorder="1">
      <alignment vertical="top"/>
    </xf>
    <xf numFmtId="180" fontId="2" fillId="0" borderId="22" xfId="0" applyFont="1" applyBorder="1">
      <alignment vertical="top"/>
    </xf>
    <xf numFmtId="44" fontId="0" fillId="0" borderId="23" xfId="2" applyFont="1" applyBorder="1" applyAlignment="1">
      <alignment vertical="top"/>
    </xf>
    <xf numFmtId="180" fontId="2" fillId="0" borderId="20" xfId="0" applyFont="1" applyBorder="1">
      <alignment vertical="top"/>
    </xf>
    <xf numFmtId="44" fontId="13" fillId="0" borderId="21" xfId="0" applyNumberFormat="1" applyFont="1" applyBorder="1">
      <alignment vertical="top"/>
    </xf>
    <xf numFmtId="178" fontId="0" fillId="0" borderId="0" xfId="2" applyNumberFormat="1" applyFont="1" applyFill="1" applyBorder="1" applyAlignment="1">
      <alignment vertical="top"/>
    </xf>
    <xf numFmtId="180" fontId="0" fillId="0" borderId="0" xfId="0" applyAlignment="1">
      <alignment vertical="center"/>
    </xf>
    <xf numFmtId="184" fontId="0" fillId="22" borderId="33" xfId="10" applyNumberFormat="1" applyFont="1" applyFill="1" applyBorder="1">
      <alignment vertical="top"/>
    </xf>
    <xf numFmtId="180" fontId="30" fillId="0" borderId="0" xfId="0" applyFont="1">
      <alignment vertical="top"/>
    </xf>
    <xf numFmtId="0" fontId="69" fillId="0" borderId="0" xfId="3" applyFont="1" applyFill="1" applyAlignment="1" applyProtection="1"/>
    <xf numFmtId="184" fontId="0" fillId="0" borderId="0" xfId="10" applyNumberFormat="1" applyFont="1">
      <alignment vertical="top"/>
    </xf>
    <xf numFmtId="184" fontId="45" fillId="0" borderId="0" xfId="10" applyNumberFormat="1" applyFont="1">
      <alignment vertical="top"/>
    </xf>
    <xf numFmtId="186" fontId="0" fillId="0" borderId="0" xfId="0" applyNumberFormat="1" applyFont="1">
      <alignment vertical="top"/>
    </xf>
    <xf numFmtId="185" fontId="0" fillId="3" borderId="0" xfId="10" applyNumberFormat="1" applyFont="1" applyFill="1">
      <alignment vertical="top"/>
    </xf>
    <xf numFmtId="178" fontId="0" fillId="3" borderId="0" xfId="2" applyNumberFormat="1" applyFont="1" applyFill="1" applyAlignment="1">
      <alignment vertical="top"/>
    </xf>
    <xf numFmtId="187" fontId="0" fillId="0" borderId="0" xfId="0" applyNumberFormat="1" applyFont="1">
      <alignment vertical="top"/>
    </xf>
    <xf numFmtId="187" fontId="0" fillId="0" borderId="0" xfId="0" applyNumberFormat="1" applyFont="1" applyFill="1">
      <alignment vertical="top"/>
    </xf>
    <xf numFmtId="180" fontId="2" fillId="0" borderId="18" xfId="0" applyFont="1" applyFill="1" applyBorder="1">
      <alignment vertical="top"/>
    </xf>
    <xf numFmtId="187" fontId="0" fillId="3" borderId="0" xfId="0" applyNumberFormat="1" applyFill="1">
      <alignment vertical="top"/>
    </xf>
    <xf numFmtId="180" fontId="70" fillId="0" borderId="0" xfId="0" applyFont="1">
      <alignment vertical="top"/>
    </xf>
    <xf numFmtId="181" fontId="3" fillId="0" borderId="0" xfId="3" applyNumberFormat="1" applyAlignment="1">
      <alignment vertical="top"/>
    </xf>
    <xf numFmtId="178" fontId="13" fillId="0" borderId="0" xfId="2" applyNumberFormat="1" applyFont="1" applyAlignment="1">
      <alignment vertical="top"/>
    </xf>
    <xf numFmtId="180" fontId="20" fillId="0" borderId="13" xfId="0" applyFont="1" applyFill="1" applyBorder="1" applyProtection="1">
      <alignment vertical="top"/>
    </xf>
    <xf numFmtId="180" fontId="13" fillId="0" borderId="13" xfId="0" applyFont="1" applyBorder="1" applyAlignment="1">
      <alignment horizontal="left" indent="2"/>
    </xf>
    <xf numFmtId="176" fontId="20" fillId="0" borderId="13" xfId="13" applyFont="1" applyFill="1" applyBorder="1" applyAlignment="1" applyProtection="1"/>
    <xf numFmtId="180" fontId="71" fillId="0" borderId="0" xfId="0" applyFont="1">
      <alignment vertical="top"/>
    </xf>
    <xf numFmtId="180" fontId="13" fillId="0" borderId="0" xfId="0" applyFont="1" applyFill="1">
      <alignment vertical="top"/>
    </xf>
    <xf numFmtId="175" fontId="72" fillId="0" borderId="0" xfId="16" applyFont="1" applyFill="1" applyProtection="1">
      <alignment vertical="top"/>
    </xf>
    <xf numFmtId="180" fontId="0" fillId="23" borderId="0" xfId="0" applyFill="1">
      <alignment vertical="top"/>
    </xf>
    <xf numFmtId="185" fontId="13" fillId="0" borderId="0" xfId="10" applyNumberFormat="1" applyFont="1">
      <alignment vertical="top"/>
    </xf>
    <xf numFmtId="185" fontId="73" fillId="0" borderId="0" xfId="10" applyNumberFormat="1" applyFont="1">
      <alignment vertical="top"/>
    </xf>
    <xf numFmtId="183" fontId="21" fillId="0" borderId="0" xfId="0" applyNumberFormat="1" applyFont="1">
      <alignment vertical="top"/>
    </xf>
    <xf numFmtId="180" fontId="13" fillId="0" borderId="13" xfId="0" applyFont="1" applyBorder="1">
      <alignment vertical="top"/>
    </xf>
    <xf numFmtId="178" fontId="13" fillId="0" borderId="13" xfId="2" applyNumberFormat="1" applyFont="1" applyBorder="1" applyAlignment="1">
      <alignment vertical="top"/>
    </xf>
    <xf numFmtId="180" fontId="0" fillId="7" borderId="0" xfId="0" applyFill="1">
      <alignment vertical="top"/>
    </xf>
    <xf numFmtId="178" fontId="0" fillId="0" borderId="13" xfId="2" applyNumberFormat="1" applyFont="1" applyFill="1" applyBorder="1" applyAlignment="1">
      <alignment vertical="top"/>
    </xf>
    <xf numFmtId="180" fontId="20" fillId="0" borderId="13" xfId="0" applyFont="1" applyBorder="1">
      <alignment vertical="top"/>
    </xf>
    <xf numFmtId="179" fontId="20" fillId="0" borderId="0" xfId="10" applyNumberFormat="1" applyFont="1">
      <alignment vertical="top"/>
    </xf>
    <xf numFmtId="185" fontId="20" fillId="0" borderId="0" xfId="10" applyNumberFormat="1" applyFont="1">
      <alignment vertical="top"/>
    </xf>
    <xf numFmtId="183" fontId="21" fillId="0" borderId="0" xfId="0" applyNumberFormat="1" applyFont="1" applyFill="1">
      <alignment vertical="top"/>
    </xf>
    <xf numFmtId="180" fontId="21" fillId="0" borderId="0" xfId="0" applyFont="1" applyFill="1">
      <alignment vertical="top"/>
    </xf>
    <xf numFmtId="180" fontId="20" fillId="0" borderId="0" xfId="0" applyFont="1" applyBorder="1">
      <alignment vertical="top"/>
    </xf>
    <xf numFmtId="183" fontId="0" fillId="0" borderId="13" xfId="0" applyNumberFormat="1" applyFont="1" applyFill="1" applyBorder="1">
      <alignment vertical="top"/>
    </xf>
    <xf numFmtId="181" fontId="0" fillId="0" borderId="13" xfId="10" applyFont="1" applyBorder="1">
      <alignment vertical="top"/>
    </xf>
    <xf numFmtId="180" fontId="13" fillId="0" borderId="0" xfId="0" applyFont="1" applyBorder="1" applyAlignment="1">
      <alignment horizontal="left" indent="2"/>
    </xf>
    <xf numFmtId="183" fontId="0" fillId="0" borderId="0" xfId="0" applyNumberFormat="1" applyFont="1">
      <alignment vertical="top"/>
    </xf>
    <xf numFmtId="183" fontId="0" fillId="7" borderId="0" xfId="0" applyNumberFormat="1" applyFont="1" applyFill="1">
      <alignment vertical="top"/>
    </xf>
    <xf numFmtId="180" fontId="71" fillId="3" borderId="0" xfId="0" applyFont="1" applyFill="1">
      <alignment vertical="top"/>
    </xf>
    <xf numFmtId="188" fontId="0" fillId="0" borderId="0" xfId="0" applyNumberFormat="1" applyFont="1">
      <alignment vertical="top"/>
    </xf>
    <xf numFmtId="180" fontId="0" fillId="0" borderId="0" xfId="0" applyFont="1" applyBorder="1">
      <alignment vertical="top"/>
    </xf>
    <xf numFmtId="180" fontId="0" fillId="0" borderId="0" xfId="0" applyFont="1" applyAlignment="1">
      <alignment horizontal="center" vertical="top"/>
    </xf>
    <xf numFmtId="184" fontId="0" fillId="22" borderId="34" xfId="10" applyNumberFormat="1" applyFont="1" applyFill="1" applyBorder="1">
      <alignment vertical="top"/>
    </xf>
    <xf numFmtId="182" fontId="0" fillId="0" borderId="0" xfId="19" applyFont="1" applyFill="1">
      <alignment vertical="top"/>
    </xf>
    <xf numFmtId="189" fontId="0" fillId="0" borderId="0" xfId="10" applyNumberFormat="1" applyFont="1">
      <alignment vertical="top"/>
    </xf>
    <xf numFmtId="184" fontId="0" fillId="0" borderId="0" xfId="10" applyNumberFormat="1" applyFont="1" applyFill="1">
      <alignment vertical="top"/>
    </xf>
    <xf numFmtId="190" fontId="0" fillId="0" borderId="0" xfId="10" applyNumberFormat="1" applyFont="1" applyFill="1">
      <alignment vertical="top"/>
    </xf>
    <xf numFmtId="188" fontId="0" fillId="0" borderId="0" xfId="0" applyNumberFormat="1" applyFont="1" applyFill="1">
      <alignment vertical="top"/>
    </xf>
    <xf numFmtId="180" fontId="0" fillId="0" borderId="0" xfId="0" applyAlignment="1">
      <alignment horizontal="center" vertical="top"/>
    </xf>
    <xf numFmtId="186" fontId="0" fillId="7" borderId="0" xfId="0" applyNumberFormat="1" applyFont="1" applyFill="1">
      <alignment vertical="top"/>
    </xf>
    <xf numFmtId="186" fontId="0" fillId="0" borderId="0" xfId="0" applyNumberFormat="1" applyFont="1" applyFill="1">
      <alignment vertical="top"/>
    </xf>
    <xf numFmtId="188" fontId="71" fillId="0" borderId="0" xfId="0" applyNumberFormat="1" applyFont="1" applyFill="1">
      <alignment vertical="top"/>
    </xf>
    <xf numFmtId="180" fontId="75" fillId="0" borderId="0" xfId="0" applyFont="1" applyAlignment="1">
      <alignment horizontal="center" vertical="center"/>
    </xf>
    <xf numFmtId="180" fontId="76" fillId="3" borderId="0" xfId="0" applyFont="1" applyFill="1">
      <alignment vertical="top"/>
    </xf>
    <xf numFmtId="180" fontId="0" fillId="22" borderId="34" xfId="0" applyFill="1" applyBorder="1">
      <alignment vertical="top"/>
    </xf>
    <xf numFmtId="178" fontId="77" fillId="3" borderId="0" xfId="2" applyNumberFormat="1" applyFont="1" applyFill="1" applyAlignment="1">
      <alignment vertical="top"/>
    </xf>
    <xf numFmtId="178" fontId="13" fillId="0" borderId="0" xfId="2" applyNumberFormat="1" applyFont="1" applyFill="1" applyAlignment="1">
      <alignment vertical="top"/>
    </xf>
    <xf numFmtId="184" fontId="0" fillId="0" borderId="0" xfId="10" applyNumberFormat="1" applyFont="1" applyFill="1" applyBorder="1">
      <alignment vertical="top"/>
    </xf>
    <xf numFmtId="180" fontId="26" fillId="2" borderId="0" xfId="0" applyFont="1" applyFill="1" applyAlignment="1">
      <alignment horizontal="center"/>
    </xf>
    <xf numFmtId="180" fontId="26" fillId="2" borderId="0" xfId="0" applyFont="1" applyFill="1" applyAlignment="1">
      <alignment horizontal="left"/>
    </xf>
    <xf numFmtId="180" fontId="30" fillId="0" borderId="0" xfId="0" applyFont="1" applyAlignment="1">
      <alignment horizontal="left" wrapText="1"/>
    </xf>
    <xf numFmtId="180" fontId="74" fillId="2" borderId="15" xfId="0" quotePrefix="1" applyFont="1" applyFill="1" applyBorder="1" applyAlignment="1">
      <alignment horizontal="center" vertical="top"/>
    </xf>
    <xf numFmtId="180" fontId="74" fillId="2" borderId="16" xfId="0" quotePrefix="1" applyFont="1" applyFill="1" applyBorder="1" applyAlignment="1">
      <alignment horizontal="center" vertical="top"/>
    </xf>
    <xf numFmtId="180" fontId="74" fillId="2" borderId="17" xfId="0" quotePrefix="1" applyFont="1" applyFill="1" applyBorder="1" applyAlignment="1">
      <alignment horizontal="center" vertical="top"/>
    </xf>
    <xf numFmtId="180" fontId="0" fillId="0" borderId="0" xfId="0" applyAlignment="1">
      <alignment horizontal="center" vertical="top"/>
    </xf>
    <xf numFmtId="180" fontId="48" fillId="8" borderId="25" xfId="0" applyFont="1" applyFill="1" applyBorder="1" applyAlignment="1">
      <alignment horizontal="center"/>
    </xf>
    <xf numFmtId="180" fontId="48" fillId="8" borderId="26" xfId="0" applyFont="1" applyFill="1" applyBorder="1" applyAlignment="1">
      <alignment horizontal="center"/>
    </xf>
    <xf numFmtId="180" fontId="48" fillId="8" borderId="27" xfId="0" applyFont="1" applyFill="1" applyBorder="1" applyAlignment="1">
      <alignment horizontal="center"/>
    </xf>
    <xf numFmtId="180" fontId="0" fillId="0" borderId="15" xfId="0" applyBorder="1" applyAlignment="1">
      <alignment horizontal="center"/>
    </xf>
    <xf numFmtId="180" fontId="0" fillId="0" borderId="17" xfId="0" applyBorder="1" applyAlignment="1">
      <alignment horizontal="center"/>
    </xf>
    <xf numFmtId="37" fontId="49" fillId="0" borderId="15" xfId="2" applyNumberFormat="1" applyFont="1" applyFill="1" applyBorder="1" applyAlignment="1" applyProtection="1">
      <alignment horizontal="center" vertical="center"/>
      <protection locked="0"/>
    </xf>
    <xf numFmtId="37" fontId="49" fillId="0" borderId="17" xfId="2" applyNumberFormat="1" applyFont="1" applyFill="1" applyBorder="1" applyAlignment="1" applyProtection="1">
      <alignment horizontal="center" vertical="center"/>
      <protection locked="0"/>
    </xf>
    <xf numFmtId="180" fontId="48" fillId="8" borderId="28" xfId="0" applyFont="1" applyFill="1" applyBorder="1" applyAlignment="1">
      <alignment horizontal="center"/>
    </xf>
    <xf numFmtId="180" fontId="48" fillId="8" borderId="16" xfId="0" applyFont="1" applyFill="1" applyBorder="1" applyAlignment="1">
      <alignment horizontal="center"/>
    </xf>
    <xf numFmtId="180" fontId="48" fillId="8" borderId="15" xfId="0" applyFont="1" applyFill="1" applyBorder="1" applyAlignment="1">
      <alignment horizontal="center"/>
    </xf>
    <xf numFmtId="180" fontId="48" fillId="8" borderId="17" xfId="0" applyFont="1" applyFill="1" applyBorder="1" applyAlignment="1">
      <alignment horizontal="center"/>
    </xf>
    <xf numFmtId="173" fontId="48" fillId="8" borderId="16" xfId="0" applyNumberFormat="1" applyFont="1" applyFill="1" applyBorder="1" applyAlignment="1">
      <alignment horizontal="center"/>
    </xf>
    <xf numFmtId="173" fontId="48" fillId="8" borderId="29" xfId="0" applyNumberFormat="1" applyFont="1" applyFill="1" applyBorder="1" applyAlignment="1">
      <alignment horizontal="center"/>
    </xf>
    <xf numFmtId="180" fontId="2" fillId="17" borderId="15" xfId="0" applyFont="1" applyFill="1" applyBorder="1" applyAlignment="1">
      <alignment horizontal="center"/>
    </xf>
    <xf numFmtId="180" fontId="2" fillId="17" borderId="17" xfId="0" applyFont="1" applyFill="1" applyBorder="1" applyAlignment="1">
      <alignment horizontal="center"/>
    </xf>
    <xf numFmtId="180" fontId="50" fillId="0" borderId="20" xfId="0" applyFont="1" applyBorder="1" applyAlignment="1">
      <alignment horizontal="center" vertical="center" wrapText="1"/>
    </xf>
    <xf numFmtId="180" fontId="50" fillId="0" borderId="0" xfId="0" applyFont="1" applyAlignment="1">
      <alignment horizontal="center" vertical="center" wrapText="1"/>
    </xf>
    <xf numFmtId="180" fontId="50" fillId="0" borderId="21" xfId="0" applyFont="1" applyBorder="1" applyAlignment="1">
      <alignment horizontal="center" vertical="center" wrapText="1"/>
    </xf>
    <xf numFmtId="180" fontId="50" fillId="0" borderId="22" xfId="0" applyFont="1" applyBorder="1" applyAlignment="1">
      <alignment horizontal="center" vertical="center" wrapText="1"/>
    </xf>
    <xf numFmtId="180" fontId="50" fillId="0" borderId="2" xfId="0" applyFont="1" applyBorder="1" applyAlignment="1">
      <alignment horizontal="center" vertical="center" wrapText="1"/>
    </xf>
    <xf numFmtId="180" fontId="50" fillId="0" borderId="23" xfId="0" applyFont="1" applyBorder="1" applyAlignment="1">
      <alignment horizontal="center" vertical="center" wrapText="1"/>
    </xf>
    <xf numFmtId="44" fontId="51" fillId="0" borderId="0" xfId="0" applyNumberFormat="1" applyFont="1" applyAlignment="1">
      <alignment horizontal="center" wrapText="1"/>
    </xf>
    <xf numFmtId="44" fontId="2" fillId="17" borderId="15" xfId="0" applyNumberFormat="1" applyFont="1" applyFill="1" applyBorder="1" applyAlignment="1">
      <alignment horizontal="center"/>
    </xf>
    <xf numFmtId="44" fontId="2" fillId="17" borderId="16" xfId="0" applyNumberFormat="1" applyFont="1" applyFill="1" applyBorder="1" applyAlignment="1">
      <alignment horizontal="center"/>
    </xf>
    <xf numFmtId="44" fontId="2" fillId="17" borderId="17" xfId="0" applyNumberFormat="1" applyFont="1" applyFill="1" applyBorder="1" applyAlignment="1">
      <alignment horizontal="center"/>
    </xf>
    <xf numFmtId="174" fontId="49" fillId="0" borderId="15" xfId="2" applyNumberFormat="1" applyFont="1" applyFill="1" applyBorder="1" applyAlignment="1" applyProtection="1">
      <alignment horizontal="center" vertical="center"/>
      <protection locked="0"/>
    </xf>
    <xf numFmtId="174" fontId="49" fillId="0" borderId="16" xfId="2" applyNumberFormat="1" applyFont="1" applyFill="1" applyBorder="1" applyAlignment="1" applyProtection="1">
      <alignment horizontal="center" vertical="center"/>
      <protection locked="0"/>
    </xf>
    <xf numFmtId="174" fontId="49" fillId="0" borderId="17" xfId="2" applyNumberFormat="1" applyFont="1" applyFill="1" applyBorder="1" applyAlignment="1" applyProtection="1">
      <alignment horizontal="center" vertical="center"/>
      <protection locked="0"/>
    </xf>
    <xf numFmtId="180" fontId="0" fillId="0" borderId="7" xfId="0" applyBorder="1" applyAlignment="1">
      <alignment horizontal="center"/>
    </xf>
    <xf numFmtId="180" fontId="0" fillId="0" borderId="9" xfId="0" applyBorder="1" applyAlignment="1">
      <alignment horizontal="center" vertical="center" textRotation="90" wrapText="1"/>
    </xf>
  </cellXfs>
  <cellStyles count="20">
    <cellStyle name="Accounting Format in Thousands" xfId="12" xr:uid="{42198C85-8FB5-434E-AB92-02F5468098CB}"/>
    <cellStyle name="Comma" xfId="1" builtinId="3"/>
    <cellStyle name="Comma 3" xfId="9" xr:uid="{4B27C956-37D6-4976-9ABD-283F489C9CFF}"/>
    <cellStyle name="Comma 4" xfId="7" xr:uid="{BE86CCAA-1782-471F-B757-DA698B57CBBE}"/>
    <cellStyle name="Currency" xfId="2" builtinId="4"/>
    <cellStyle name="Currency 3" xfId="5" xr:uid="{6ABD7725-44CF-4937-93DD-B031A75C7F4A}"/>
    <cellStyle name="DateLong" xfId="17" xr:uid="{73D954C0-C054-4AC6-90A1-8398600A4240}"/>
    <cellStyle name="DateShort" xfId="18" xr:uid="{795E893B-52F5-41CA-A2B6-DE6564899F6B}"/>
    <cellStyle name="Factor" xfId="16" xr:uid="{C27472EF-E168-447B-AAEC-601580953D65}"/>
    <cellStyle name="Format in thousands + red" xfId="13" xr:uid="{27A9AEBE-148C-4098-8EDD-7A9ACB04F591}"/>
    <cellStyle name="Good" xfId="15" builtinId="26"/>
    <cellStyle name="Heading 2" xfId="11" builtinId="17"/>
    <cellStyle name="Hyperlink" xfId="3" builtinId="8"/>
    <cellStyle name="Normal" xfId="0" builtinId="0" customBuiltin="1"/>
    <cellStyle name="Normal 2" xfId="8" xr:uid="{A0BC23AA-0EF2-4BF0-91AC-0D557CA6B917}"/>
    <cellStyle name="Normal 2 3" xfId="14" xr:uid="{94382345-385D-4E9B-9057-5A57888A9DD8}"/>
    <cellStyle name="Normal 3" xfId="4" xr:uid="{E5352209-D629-4C2D-A2C3-D589E8AAFF2C}"/>
    <cellStyle name="Percent" xfId="10" builtinId="5" customBuiltin="1"/>
    <cellStyle name="Percent 3" xfId="6" xr:uid="{DA7BE513-3C8B-4FE1-BA4D-0B72CE97EC0B}"/>
    <cellStyle name="Year" xfId="19" xr:uid="{85D5F97A-C43D-404D-B1D9-C08F518E9A54}"/>
  </cellStyles>
  <dxfs count="82">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34" formatCode="_(&quot;$&quot;* #,##0.00_);_(&quot;$&quot;* \(#,##0.00\);_(&quot;$&quot;* &quot;-&quot;??_);_(@_)"/>
    </dxf>
    <dxf>
      <font>
        <b val="0"/>
        <i val="0"/>
        <strike val="0"/>
        <condense val="0"/>
        <extend val="0"/>
        <outline val="0"/>
        <shadow val="0"/>
        <u val="none"/>
        <vertAlign val="baseline"/>
        <sz val="11"/>
        <color theme="1"/>
        <name val="Calibri"/>
        <family val="2"/>
        <scheme val="minor"/>
      </font>
      <alignment vertical="bottom"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auto="1"/>
        <name val="Times New Roman"/>
        <family val="1"/>
        <scheme val="none"/>
      </font>
      <fill>
        <patternFill patternType="solid">
          <fgColor indexed="64"/>
          <bgColor theme="2" tint="-0.249977111117893"/>
        </patternFill>
      </fill>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34" formatCode="_(&quot;$&quot;* #,##0.00_);_(&quot;$&quot;* \(#,##0.00\);_(&quot;$&quot;* &quot;-&quot;??_);_(@_)"/>
    </dxf>
    <dxf>
      <font>
        <b val="0"/>
        <i val="0"/>
        <strike val="0"/>
        <condense val="0"/>
        <extend val="0"/>
        <outline val="0"/>
        <shadow val="0"/>
        <u val="none"/>
        <vertAlign val="baseline"/>
        <sz val="11"/>
        <color theme="1"/>
        <name val="Calibri"/>
        <family val="2"/>
        <scheme val="minor"/>
      </font>
      <alignment vertical="bottom"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auto="1"/>
        <name val="Times New Roman"/>
        <family val="1"/>
        <scheme val="none"/>
      </font>
      <fill>
        <patternFill patternType="solid">
          <fgColor indexed="64"/>
          <bgColor theme="2" tint="-0.249977111117893"/>
        </patternFill>
      </fill>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34" formatCode="_(&quot;$&quot;* #,##0.00_);_(&quot;$&quot;* \(#,##0.00\);_(&quot;$&quot;* &quot;-&quot;??_);_(@_)"/>
    </dxf>
    <dxf>
      <font>
        <b val="0"/>
        <i val="0"/>
        <strike val="0"/>
        <condense val="0"/>
        <extend val="0"/>
        <outline val="0"/>
        <shadow val="0"/>
        <u val="none"/>
        <vertAlign val="baseline"/>
        <sz val="11"/>
        <color theme="1"/>
        <name val="Calibri"/>
        <family val="2"/>
        <scheme val="minor"/>
      </font>
      <alignment vertical="bottom"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auto="1"/>
        <name val="Times New Roman"/>
        <family val="1"/>
        <scheme val="none"/>
      </font>
      <fill>
        <patternFill patternType="solid">
          <fgColor indexed="64"/>
          <bgColor theme="2" tint="-0.249977111117893"/>
        </patternFill>
      </fill>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vertical="bottom"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auto="1"/>
        <name val="Times New Roman"/>
        <family val="1"/>
        <scheme val="none"/>
      </font>
      <fill>
        <patternFill patternType="solid">
          <fgColor indexed="64"/>
          <bgColor theme="2" tint="-0.249977111117893"/>
        </patternFill>
      </fill>
    </dxf>
    <dxf>
      <font>
        <color theme="9" tint="-0.499984740745262"/>
      </font>
      <fill>
        <patternFill>
          <bgColor rgb="FFC8E2B8"/>
        </patternFill>
      </fill>
    </dxf>
    <dxf>
      <font>
        <color rgb="FFC00000"/>
      </font>
      <fill>
        <patternFill>
          <bgColor rgb="FFE9B5B5"/>
        </patternFill>
      </fill>
    </dxf>
    <dxf>
      <font>
        <color theme="9" tint="-0.499984740745262"/>
      </font>
      <fill>
        <patternFill>
          <bgColor rgb="FFC8E2B8"/>
        </patternFill>
      </fill>
    </dxf>
    <dxf>
      <font>
        <color rgb="FFC00000"/>
      </font>
      <fill>
        <patternFill>
          <bgColor rgb="FFE9B5B5"/>
        </patternFill>
      </fill>
    </dxf>
    <dxf>
      <font>
        <color rgb="FF006100"/>
      </font>
      <fill>
        <patternFill>
          <bgColor rgb="FFC6EFCE"/>
        </patternFill>
      </fill>
    </dxf>
    <dxf>
      <font>
        <color rgb="FF9C0006"/>
      </font>
      <fill>
        <patternFill>
          <bgColor rgb="FFFFC7CE"/>
        </patternFill>
      </fill>
    </dxf>
    <dxf>
      <fill>
        <patternFill>
          <bgColor theme="9" tint="0.59996337778862885"/>
        </patternFill>
      </fill>
    </dxf>
    <dxf>
      <fill>
        <patternFill>
          <bgColor rgb="FFFF7C8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4" tint="0.59996337778862885"/>
        </patternFill>
      </fill>
    </dxf>
    <dxf>
      <fill>
        <patternFill>
          <bgColor theme="5" tint="0.39994506668294322"/>
        </patternFill>
      </fill>
    </dxf>
    <dxf>
      <fill>
        <patternFill>
          <bgColor rgb="FFFFC000"/>
        </patternFill>
      </fill>
    </dxf>
    <dxf>
      <fill>
        <patternFill>
          <bgColor theme="7" tint="0.59996337778862885"/>
        </patternFill>
      </fill>
    </dxf>
    <dxf>
      <fill>
        <patternFill>
          <bgColor theme="9" tint="0.59996337778862885"/>
        </patternFill>
      </fill>
    </dxf>
    <dxf>
      <fill>
        <patternFill>
          <bgColor theme="0" tint="-0.24994659260841701"/>
        </patternFill>
      </fill>
    </dxf>
    <dxf>
      <fill>
        <patternFill>
          <bgColor theme="4" tint="0.59996337778862885"/>
        </patternFill>
      </fill>
    </dxf>
    <dxf>
      <fill>
        <patternFill>
          <bgColor theme="5" tint="0.39994506668294322"/>
        </patternFill>
      </fill>
    </dxf>
    <dxf>
      <fill>
        <patternFill>
          <bgColor theme="9" tint="0.59996337778862885"/>
        </patternFill>
      </fill>
    </dxf>
    <dxf>
      <fill>
        <patternFill>
          <bgColor rgb="FFFFC000"/>
        </patternFill>
      </fill>
    </dxf>
    <dxf>
      <fill>
        <patternFill>
          <bgColor theme="7" tint="0.59996337778862885"/>
        </patternFill>
      </fill>
    </dxf>
    <dxf>
      <fill>
        <patternFill>
          <bgColor theme="9" tint="0.59996337778862885"/>
        </patternFill>
      </fill>
    </dxf>
    <dxf>
      <fill>
        <patternFill>
          <bgColor theme="0" tint="-0.24994659260841701"/>
        </patternFill>
      </fill>
    </dxf>
    <dxf>
      <fill>
        <patternFill>
          <bgColor theme="4" tint="0.59996337778862885"/>
        </patternFill>
      </fill>
    </dxf>
    <dxf>
      <fill>
        <patternFill>
          <bgColor theme="5" tint="0.39994506668294322"/>
        </patternFill>
      </fill>
    </dxf>
    <dxf>
      <fill>
        <patternFill>
          <bgColor theme="9" tint="0.59996337778862885"/>
        </patternFill>
      </fill>
    </dxf>
    <dxf>
      <fill>
        <patternFill>
          <bgColor rgb="FFFFC000"/>
        </patternFill>
      </fill>
    </dxf>
    <dxf>
      <fill>
        <patternFill>
          <bgColor theme="4" tint="0.59996337778862885"/>
        </patternFill>
      </fill>
    </dxf>
    <dxf>
      <fill>
        <patternFill>
          <bgColor theme="5" tint="0.39994506668294322"/>
        </patternFill>
      </fill>
    </dxf>
    <dxf>
      <fill>
        <patternFill>
          <bgColor rgb="FFFFC000"/>
        </patternFill>
      </fill>
    </dxf>
    <dxf>
      <fill>
        <patternFill>
          <bgColor theme="4" tint="0.59996337778862885"/>
        </patternFill>
      </fill>
    </dxf>
    <dxf>
      <fill>
        <patternFill>
          <bgColor theme="5" tint="0.39994506668294322"/>
        </patternFill>
      </fill>
    </dxf>
    <dxf>
      <fill>
        <patternFill>
          <bgColor rgb="FFFFC000"/>
        </patternFill>
      </fill>
    </dxf>
    <dxf>
      <fill>
        <patternFill>
          <bgColor theme="7" tint="0.59996337778862885"/>
        </patternFill>
      </fill>
    </dxf>
    <dxf>
      <fill>
        <patternFill>
          <bgColor theme="9" tint="0.59996337778862885"/>
        </patternFill>
      </fill>
    </dxf>
    <dxf>
      <fill>
        <patternFill>
          <bgColor theme="0" tint="-0.24994659260841701"/>
        </patternFill>
      </fill>
    </dxf>
    <dxf>
      <fill>
        <patternFill>
          <bgColor theme="4" tint="0.59996337778862885"/>
        </patternFill>
      </fill>
    </dxf>
    <dxf>
      <fill>
        <patternFill>
          <bgColor theme="5" tint="0.39994506668294322"/>
        </patternFill>
      </fill>
    </dxf>
    <dxf>
      <fill>
        <patternFill>
          <bgColor theme="9" tint="0.59996337778862885"/>
        </patternFill>
      </fill>
    </dxf>
    <dxf>
      <fill>
        <patternFill>
          <bgColor rgb="FFFFC000"/>
        </patternFill>
      </fill>
    </dxf>
    <dxf>
      <fill>
        <patternFill>
          <bgColor theme="0" tint="-0.14996795556505021"/>
        </patternFill>
      </fill>
    </dxf>
    <dxf>
      <fill>
        <patternFill>
          <bgColor theme="9" tint="0.59996337778862885"/>
        </patternFill>
      </fill>
    </dxf>
    <dxf>
      <fill>
        <patternFill>
          <bgColor rgb="FFFF7C80"/>
        </patternFill>
      </fill>
    </dxf>
  </dxfs>
  <tableStyles count="0" defaultTableStyle="TableStyleMedium2" defaultPivotStyle="PivotStyleLight16"/>
  <colors>
    <mruColors>
      <color rgb="FFFF7C80"/>
      <color rgb="FF63BE7B"/>
      <color rgb="FF9C0006"/>
      <color rgb="FFFFC7CE"/>
      <color rgb="FFC6EFCE"/>
      <color rgb="FF006100"/>
      <color rgb="FF960006"/>
      <color rgb="FFE1BEB3"/>
      <color rgb="FFE5B7AF"/>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10/relationships/person" Target="persons/person.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Yield Curve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scatterChart>
        <c:scatterStyle val="smoothMarker"/>
        <c:varyColors val="0"/>
        <c:ser>
          <c:idx val="0"/>
          <c:order val="0"/>
          <c:tx>
            <c:strRef>
              <c:f>'Single Liability Match'!$B$5</c:f>
              <c:strCache>
                <c:ptCount val="1"/>
                <c:pt idx="0">
                  <c:v> Original Curve Yield </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'Single Liability Match'!$A$6:$A$8</c:f>
              <c:numCache>
                <c:formatCode>#,##0_);\(#,##0\);"-  ";" "@" "</c:formatCode>
                <c:ptCount val="3"/>
                <c:pt idx="0">
                  <c:v>2</c:v>
                </c:pt>
                <c:pt idx="1">
                  <c:v>5</c:v>
                </c:pt>
                <c:pt idx="2">
                  <c:v>10</c:v>
                </c:pt>
              </c:numCache>
            </c:numRef>
          </c:xVal>
          <c:yVal>
            <c:numRef>
              <c:f>'Single Liability Match'!$B$6:$B$8</c:f>
              <c:numCache>
                <c:formatCode>0%;\-0%_);"-  ";" "@" "</c:formatCode>
                <c:ptCount val="3"/>
                <c:pt idx="0">
                  <c:v>0.02</c:v>
                </c:pt>
                <c:pt idx="1">
                  <c:v>0.06</c:v>
                </c:pt>
                <c:pt idx="2">
                  <c:v>7.0000000000000007E-2</c:v>
                </c:pt>
              </c:numCache>
            </c:numRef>
          </c:yVal>
          <c:smooth val="1"/>
          <c:extLst>
            <c:ext xmlns:c16="http://schemas.microsoft.com/office/drawing/2014/chart" uri="{C3380CC4-5D6E-409C-BE32-E72D297353CC}">
              <c16:uniqueId val="{00000000-AF97-4AE5-A13D-5EDDA7215C5E}"/>
            </c:ext>
          </c:extLst>
        </c:ser>
        <c:ser>
          <c:idx val="1"/>
          <c:order val="1"/>
          <c:tx>
            <c:strRef>
              <c:f>'Single Liability Match'!$C$5</c:f>
              <c:strCache>
                <c:ptCount val="1"/>
                <c:pt idx="0">
                  <c:v> New Curve YTM </c:v>
                </c:pt>
              </c:strCache>
            </c:strRef>
          </c:tx>
          <c:spPr>
            <a:ln w="95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cap="rnd">
                <a:solidFill>
                  <a:schemeClr val="accent2"/>
                </a:solidFill>
                <a:round/>
              </a:ln>
              <a:effectLst>
                <a:outerShdw blurRad="57150" dist="19050" dir="5400000" algn="ctr" rotWithShape="0">
                  <a:srgbClr val="000000">
                    <a:alpha val="63000"/>
                  </a:srgbClr>
                </a:outerShdw>
              </a:effectLst>
            </c:spPr>
          </c:marker>
          <c:xVal>
            <c:numRef>
              <c:f>'Single Liability Match'!$A$6:$A$8</c:f>
              <c:numCache>
                <c:formatCode>#,##0_);\(#,##0\);"-  ";" "@" "</c:formatCode>
                <c:ptCount val="3"/>
                <c:pt idx="0">
                  <c:v>2</c:v>
                </c:pt>
                <c:pt idx="1">
                  <c:v>5</c:v>
                </c:pt>
                <c:pt idx="2">
                  <c:v>10</c:v>
                </c:pt>
              </c:numCache>
            </c:numRef>
          </c:xVal>
          <c:yVal>
            <c:numRef>
              <c:f>'Single Liability Match'!$C$6:$C$8</c:f>
              <c:numCache>
                <c:formatCode>0%;\-0%_);"-  ";" "@" "</c:formatCode>
                <c:ptCount val="3"/>
                <c:pt idx="0">
                  <c:v>0.02</c:v>
                </c:pt>
                <c:pt idx="1">
                  <c:v>0.06</c:v>
                </c:pt>
                <c:pt idx="2">
                  <c:v>7.0000000000000007E-2</c:v>
                </c:pt>
              </c:numCache>
            </c:numRef>
          </c:yVal>
          <c:smooth val="1"/>
          <c:extLst>
            <c:ext xmlns:c16="http://schemas.microsoft.com/office/drawing/2014/chart" uri="{C3380CC4-5D6E-409C-BE32-E72D297353CC}">
              <c16:uniqueId val="{00000002-AF97-4AE5-A13D-5EDDA7215C5E}"/>
            </c:ext>
          </c:extLst>
        </c:ser>
        <c:dLbls>
          <c:showLegendKey val="0"/>
          <c:showVal val="0"/>
          <c:showCatName val="0"/>
          <c:showSerName val="0"/>
          <c:showPercent val="0"/>
          <c:showBubbleSize val="0"/>
        </c:dLbls>
        <c:axId val="1069537984"/>
        <c:axId val="1071937728"/>
      </c:scatterChart>
      <c:valAx>
        <c:axId val="106953798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r>
                  <a:rPr lang="en-US"/>
                  <a:t>Maturity</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endParaRPr lang="en-US"/>
            </a:p>
          </c:txPr>
        </c:title>
        <c:numFmt formatCode="#,##0_);\(#,##0\);&quot;-  &quot;;&quot; &quot;@&quot; &quot;"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71937728"/>
        <c:crosses val="autoZero"/>
        <c:crossBetween val="midCat"/>
      </c:valAx>
      <c:valAx>
        <c:axId val="1071937728"/>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r>
                  <a:rPr lang="en-US"/>
                  <a:t>Prevailing Yield</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endParaRPr lang="en-US"/>
            </a:p>
          </c:txPr>
        </c:title>
        <c:numFmt formatCode="0%;\-0%_);&quot;-  &quot;;&quot; &quot;@&quot; &quot;"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69537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Asset/Liability Values in Portfolio</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2"/>
          <c:order val="2"/>
          <c:tx>
            <c:strRef>
              <c:f>'Single Liability Match'!$E$5</c:f>
              <c:strCache>
                <c:ptCount val="1"/>
                <c:pt idx="0">
                  <c:v> Bond Values </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E35-43F6-93D4-7341637F8E71}"/>
              </c:ext>
            </c:extLst>
          </c:dPt>
          <c:dPt>
            <c:idx val="1"/>
            <c:invertIfNegative val="0"/>
            <c:bubble3D val="0"/>
            <c:spPr>
              <a:solidFill>
                <a:srgbClr val="FF7C8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E35-43F6-93D4-7341637F8E71}"/>
              </c:ext>
            </c:extLst>
          </c:dPt>
          <c:dPt>
            <c:idx val="2"/>
            <c:invertIfNegative val="0"/>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0E35-43F6-93D4-7341637F8E71}"/>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'Single Liability Match'!$A$6:$A$8</c:f>
              <c:numCache>
                <c:formatCode>#,##0_);\(#,##0\);"-  ";" "@" "</c:formatCode>
                <c:ptCount val="3"/>
                <c:pt idx="0">
                  <c:v>2</c:v>
                </c:pt>
                <c:pt idx="1">
                  <c:v>5</c:v>
                </c:pt>
                <c:pt idx="2">
                  <c:v>10</c:v>
                </c:pt>
              </c:numCache>
            </c:numRef>
          </c:cat>
          <c:val>
            <c:numRef>
              <c:f>'Single Liability Match'!$E$6:$E$8</c:f>
              <c:numCache>
                <c:formatCode>_("$"* #,##0_);_("$"* \(#,##0\);_("$"* "-"??_);_(@_)</c:formatCode>
                <c:ptCount val="3"/>
                <c:pt idx="0">
                  <c:v>10469.498664259538</c:v>
                </c:pt>
                <c:pt idx="1">
                  <c:v>-14945.163457321138</c:v>
                </c:pt>
                <c:pt idx="2">
                  <c:v>5083.4929213471778</c:v>
                </c:pt>
              </c:numCache>
            </c:numRef>
          </c:val>
          <c:extLst>
            <c:ext xmlns:c16="http://schemas.microsoft.com/office/drawing/2014/chart" uri="{C3380CC4-5D6E-409C-BE32-E72D297353CC}">
              <c16:uniqueId val="{00000002-0E35-43F6-93D4-7341637F8E71}"/>
            </c:ext>
          </c:extLst>
        </c:ser>
        <c:dLbls>
          <c:dLblPos val="inEnd"/>
          <c:showLegendKey val="0"/>
          <c:showVal val="1"/>
          <c:showCatName val="0"/>
          <c:showSerName val="0"/>
          <c:showPercent val="0"/>
          <c:showBubbleSize val="0"/>
        </c:dLbls>
        <c:gapWidth val="100"/>
        <c:overlap val="-24"/>
        <c:axId val="1069537984"/>
        <c:axId val="1071937728"/>
        <c:extLst>
          <c:ext xmlns:c15="http://schemas.microsoft.com/office/drawing/2012/chart" uri="{02D57815-91ED-43cb-92C2-25804820EDAC}">
            <c15:filteredBarSeries>
              <c15:ser>
                <c:idx val="0"/>
                <c:order val="0"/>
                <c:tx>
                  <c:strRef>
                    <c:extLst>
                      <c:ext uri="{02D57815-91ED-43cb-92C2-25804820EDAC}">
                        <c15:formulaRef>
                          <c15:sqref>'Single Liability Match'!$B$5</c15:sqref>
                        </c15:formulaRef>
                      </c:ext>
                    </c:extLst>
                    <c:strCache>
                      <c:ptCount val="1"/>
                      <c:pt idx="0">
                        <c:v> Original Curve Yield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uri="{CE6537A1-D6FC-4f65-9D91-7224C49458BB}">
                      <c15:showLeaderLines val="1"/>
                      <c15:leaderLines>
                        <c:spPr>
                          <a:ln w="9525">
                            <a:solidFill>
                              <a:schemeClr val="lt1">
                                <a:lumMod val="95000"/>
                                <a:alpha val="54000"/>
                              </a:schemeClr>
                            </a:solidFill>
                          </a:ln>
                          <a:effectLst/>
                        </c:spPr>
                      </c15:leaderLines>
                    </c:ext>
                  </c:extLst>
                </c:dLbls>
                <c:cat>
                  <c:numRef>
                    <c:extLst>
                      <c:ext uri="{02D57815-91ED-43cb-92C2-25804820EDAC}">
                        <c15:formulaRef>
                          <c15:sqref>'Single Liability Match'!$A$6:$A$8</c15:sqref>
                        </c15:formulaRef>
                      </c:ext>
                    </c:extLst>
                    <c:numCache>
                      <c:formatCode>#,##0_);\(#,##0\);"-  ";" "@" "</c:formatCode>
                      <c:ptCount val="3"/>
                      <c:pt idx="0">
                        <c:v>2</c:v>
                      </c:pt>
                      <c:pt idx="1">
                        <c:v>5</c:v>
                      </c:pt>
                      <c:pt idx="2">
                        <c:v>10</c:v>
                      </c:pt>
                    </c:numCache>
                  </c:numRef>
                </c:cat>
                <c:val>
                  <c:numRef>
                    <c:extLst>
                      <c:ext uri="{02D57815-91ED-43cb-92C2-25804820EDAC}">
                        <c15:formulaRef>
                          <c15:sqref>'Single Liability Match'!$B$6:$B$8</c15:sqref>
                        </c15:formulaRef>
                      </c:ext>
                    </c:extLst>
                    <c:numCache>
                      <c:formatCode>0%;\-0%_);"-  ";" "@" "</c:formatCode>
                      <c:ptCount val="3"/>
                      <c:pt idx="0">
                        <c:v>0.02</c:v>
                      </c:pt>
                      <c:pt idx="1">
                        <c:v>0.06</c:v>
                      </c:pt>
                      <c:pt idx="2">
                        <c:v>7.0000000000000007E-2</c:v>
                      </c:pt>
                    </c:numCache>
                  </c:numRef>
                </c:val>
                <c:extLst>
                  <c:ext xmlns:c16="http://schemas.microsoft.com/office/drawing/2014/chart" uri="{C3380CC4-5D6E-409C-BE32-E72D297353CC}">
                    <c16:uniqueId val="{00000000-0E35-43F6-93D4-7341637F8E71}"/>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'Single Liability Match'!$C$5</c15:sqref>
                        </c15:formulaRef>
                      </c:ext>
                    </c:extLst>
                    <c:strCache>
                      <c:ptCount val="1"/>
                      <c:pt idx="0">
                        <c:v> New Curve YTM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'Single Liability Match'!$A$6:$A$8</c15:sqref>
                        </c15:formulaRef>
                      </c:ext>
                    </c:extLst>
                    <c:numCache>
                      <c:formatCode>#,##0_);\(#,##0\);"-  ";" "@" "</c:formatCode>
                      <c:ptCount val="3"/>
                      <c:pt idx="0">
                        <c:v>2</c:v>
                      </c:pt>
                      <c:pt idx="1">
                        <c:v>5</c:v>
                      </c:pt>
                      <c:pt idx="2">
                        <c:v>10</c:v>
                      </c:pt>
                    </c:numCache>
                  </c:numRef>
                </c:cat>
                <c:val>
                  <c:numRef>
                    <c:extLst xmlns:c15="http://schemas.microsoft.com/office/drawing/2012/chart">
                      <c:ext xmlns:c15="http://schemas.microsoft.com/office/drawing/2012/chart" uri="{02D57815-91ED-43cb-92C2-25804820EDAC}">
                        <c15:formulaRef>
                          <c15:sqref>'Single Liability Match'!$C$6:$C$8</c15:sqref>
                        </c15:formulaRef>
                      </c:ext>
                    </c:extLst>
                    <c:numCache>
                      <c:formatCode>0%;\-0%_);"-  ";" "@" "</c:formatCode>
                      <c:ptCount val="3"/>
                      <c:pt idx="0">
                        <c:v>0.02</c:v>
                      </c:pt>
                      <c:pt idx="1">
                        <c:v>0.06</c:v>
                      </c:pt>
                      <c:pt idx="2">
                        <c:v>7.0000000000000007E-2</c:v>
                      </c:pt>
                    </c:numCache>
                  </c:numRef>
                </c:val>
                <c:extLst xmlns:c15="http://schemas.microsoft.com/office/drawing/2012/chart">
                  <c:ext xmlns:c16="http://schemas.microsoft.com/office/drawing/2014/chart" uri="{C3380CC4-5D6E-409C-BE32-E72D297353CC}">
                    <c16:uniqueId val="{00000001-0E35-43F6-93D4-7341637F8E71}"/>
                  </c:ext>
                </c:extLst>
              </c15:ser>
            </c15:filteredBarSeries>
          </c:ext>
        </c:extLst>
      </c:barChart>
      <c:catAx>
        <c:axId val="1069537984"/>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Maturity</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_);\(#,##0\);&quot;-  &quot;;&quot; &quot;@&quot; &quot;"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lt1">
                    <a:lumMod val="85000"/>
                  </a:schemeClr>
                </a:solidFill>
                <a:latin typeface="+mn-lt"/>
                <a:ea typeface="+mn-ea"/>
                <a:cs typeface="+mn-cs"/>
              </a:defRPr>
            </a:pPr>
            <a:endParaRPr lang="en-US"/>
          </a:p>
        </c:txPr>
        <c:crossAx val="1071937728"/>
        <c:crosses val="autoZero"/>
        <c:auto val="1"/>
        <c:lblAlgn val="ctr"/>
        <c:lblOffset val="100"/>
        <c:tickMarkSkip val="1"/>
        <c:noMultiLvlLbl val="0"/>
      </c:catAx>
      <c:valAx>
        <c:axId val="1071937728"/>
        <c:scaling>
          <c:orientation val="minMax"/>
        </c:scaling>
        <c:delete val="0"/>
        <c:axPos val="l"/>
        <c:majorGridlines>
          <c:spPr>
            <a:ln w="9525" cap="flat" cmpd="sng" algn="ctr">
              <a:solidFill>
                <a:schemeClr val="lt1">
                  <a:lumMod val="95000"/>
                  <a:alpha val="10000"/>
                </a:schemeClr>
              </a:solidFill>
              <a:round/>
            </a:ln>
            <a:effectLst/>
          </c:spPr>
        </c:majorGridlines>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695379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Value of Assets vs. Liabilites</a:t>
            </a:r>
          </a:p>
        </c:rich>
      </c:tx>
      <c:layout>
        <c:manualLayout>
          <c:xMode val="edge"/>
          <c:yMode val="edge"/>
          <c:x val="0.22000479280733712"/>
          <c:y val="4.712703541869806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stacked"/>
        <c:varyColors val="0"/>
        <c:ser>
          <c:idx val="0"/>
          <c:order val="0"/>
          <c:tx>
            <c:strRef>
              <c:f>'Single Liability Match'!$A$28</c:f>
              <c:strCache>
                <c:ptCount val="1"/>
                <c:pt idx="0">
                  <c:v> Market Value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'Single Liability Match'!$B$27:$C$27</c:f>
              <c:strCache>
                <c:ptCount val="2"/>
                <c:pt idx="0">
                  <c:v> Assets </c:v>
                </c:pt>
                <c:pt idx="1">
                  <c:v> Liabilities </c:v>
                </c:pt>
              </c:strCache>
            </c:strRef>
          </c:cat>
          <c:val>
            <c:numRef>
              <c:f>'Single Liability Match'!$B$28:$C$28</c:f>
              <c:numCache>
                <c:formatCode>_("$"* #,##0_);_("$"* \(#,##0\);_("$"* "-"??_);_(@_)</c:formatCode>
                <c:ptCount val="2"/>
                <c:pt idx="0">
                  <c:v>15552.991585606716</c:v>
                </c:pt>
                <c:pt idx="1">
                  <c:v>14945.163457321138</c:v>
                </c:pt>
              </c:numCache>
            </c:numRef>
          </c:val>
          <c:extLst>
            <c:ext xmlns:c16="http://schemas.microsoft.com/office/drawing/2014/chart" uri="{C3380CC4-5D6E-409C-BE32-E72D297353CC}">
              <c16:uniqueId val="{00000000-128D-4DE0-9634-662DC36DCCC0}"/>
            </c:ext>
          </c:extLst>
        </c:ser>
        <c:dLbls>
          <c:dLblPos val="ctr"/>
          <c:showLegendKey val="0"/>
          <c:showVal val="1"/>
          <c:showCatName val="0"/>
          <c:showSerName val="0"/>
          <c:showPercent val="0"/>
          <c:showBubbleSize val="0"/>
        </c:dLbls>
        <c:gapWidth val="150"/>
        <c:overlap val="100"/>
        <c:axId val="1189329951"/>
        <c:axId val="976436127"/>
      </c:barChart>
      <c:catAx>
        <c:axId val="118932995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6436127"/>
        <c:crosses val="autoZero"/>
        <c:auto val="1"/>
        <c:lblAlgn val="ctr"/>
        <c:lblOffset val="100"/>
        <c:noMultiLvlLbl val="0"/>
      </c:catAx>
      <c:valAx>
        <c:axId val="976436127"/>
        <c:scaling>
          <c:orientation val="minMax"/>
        </c:scaling>
        <c:delete val="0"/>
        <c:axPos val="l"/>
        <c:majorGridlines>
          <c:spPr>
            <a:ln w="9525" cap="flat" cmpd="sng" algn="ctr">
              <a:solidFill>
                <a:schemeClr val="lt1">
                  <a:lumMod val="95000"/>
                  <a:alpha val="10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89329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baseline="0"/>
              <a:t>Profit/Loss of different Swap Hedge Strategies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scatterChart>
        <c:scatterStyle val="smoothMarker"/>
        <c:varyColors val="0"/>
        <c:ser>
          <c:idx val="0"/>
          <c:order val="0"/>
          <c:tx>
            <c:strRef>
              <c:f>'Hedging Instrument Comparisons'!$B$29</c:f>
              <c:strCache>
                <c:ptCount val="1"/>
                <c:pt idx="0">
                  <c:v> Received Fixed </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'Hedging Instrument Comparisons'!$A$30:$A$52</c:f>
              <c:numCache>
                <c:formatCode>0.00%;\-0.00%_);"-  ";" "@" "</c:formatCode>
                <c:ptCount val="23"/>
                <c:pt idx="0">
                  <c:v>0.02</c:v>
                </c:pt>
                <c:pt idx="1">
                  <c:v>2.1000000000000001E-2</c:v>
                </c:pt>
                <c:pt idx="2">
                  <c:v>2.2000000000000002E-2</c:v>
                </c:pt>
                <c:pt idx="3">
                  <c:v>2.3000000000000003E-2</c:v>
                </c:pt>
                <c:pt idx="4">
                  <c:v>2.4000000000000004E-2</c:v>
                </c:pt>
                <c:pt idx="5">
                  <c:v>2.5000000000000005E-2</c:v>
                </c:pt>
                <c:pt idx="6">
                  <c:v>2.6000000000000006E-2</c:v>
                </c:pt>
                <c:pt idx="7">
                  <c:v>2.7000000000000007E-2</c:v>
                </c:pt>
                <c:pt idx="8">
                  <c:v>2.8000000000000008E-2</c:v>
                </c:pt>
                <c:pt idx="9">
                  <c:v>2.9000000000000008E-2</c:v>
                </c:pt>
                <c:pt idx="10">
                  <c:v>3.0000000000000009E-2</c:v>
                </c:pt>
                <c:pt idx="11">
                  <c:v>3.100000000000001E-2</c:v>
                </c:pt>
                <c:pt idx="12">
                  <c:v>3.2000000000000008E-2</c:v>
                </c:pt>
                <c:pt idx="13">
                  <c:v>3.3000000000000008E-2</c:v>
                </c:pt>
                <c:pt idx="14">
                  <c:v>3.4000000000000009E-2</c:v>
                </c:pt>
                <c:pt idx="15">
                  <c:v>3.500000000000001E-2</c:v>
                </c:pt>
                <c:pt idx="16">
                  <c:v>3.6000000000000011E-2</c:v>
                </c:pt>
                <c:pt idx="17">
                  <c:v>3.7000000000000012E-2</c:v>
                </c:pt>
                <c:pt idx="18">
                  <c:v>3.8000000000000013E-2</c:v>
                </c:pt>
                <c:pt idx="19">
                  <c:v>3.9000000000000014E-2</c:v>
                </c:pt>
                <c:pt idx="20">
                  <c:v>4.0000000000000015E-2</c:v>
                </c:pt>
                <c:pt idx="21">
                  <c:v>4.1000000000000016E-2</c:v>
                </c:pt>
                <c:pt idx="22">
                  <c:v>4.2000000000000016E-2</c:v>
                </c:pt>
              </c:numCache>
            </c:numRef>
          </c:xVal>
          <c:yVal>
            <c:numRef>
              <c:f>'Hedging Instrument Comparisons'!$B$30:$B$52</c:f>
              <c:numCache>
                <c:formatCode>_("$"* #,##0_);_("$"* \(#,##0\);_("$"* "-"??_);_(@_)</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yVal>
          <c:smooth val="1"/>
          <c:extLst>
            <c:ext xmlns:c16="http://schemas.microsoft.com/office/drawing/2014/chart" uri="{C3380CC4-5D6E-409C-BE32-E72D297353CC}">
              <c16:uniqueId val="{00000000-2A02-4C4C-A4F8-7CA48D91D504}"/>
            </c:ext>
          </c:extLst>
        </c:ser>
        <c:ser>
          <c:idx val="1"/>
          <c:order val="1"/>
          <c:tx>
            <c:strRef>
              <c:f>'Hedging Instrument Comparisons'!$C$29</c:f>
              <c:strCache>
                <c:ptCount val="1"/>
                <c:pt idx="0">
                  <c:v> Reciever Swaption </c:v>
                </c:pt>
              </c:strCache>
            </c:strRef>
          </c:tx>
          <c:spPr>
            <a:ln w="95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cap="rnd">
                <a:solidFill>
                  <a:schemeClr val="accent2"/>
                </a:solidFill>
                <a:round/>
              </a:ln>
              <a:effectLst>
                <a:outerShdw blurRad="57150" dist="19050" dir="5400000" algn="ctr" rotWithShape="0">
                  <a:srgbClr val="000000">
                    <a:alpha val="63000"/>
                  </a:srgbClr>
                </a:outerShdw>
              </a:effectLst>
            </c:spPr>
          </c:marker>
          <c:xVal>
            <c:numRef>
              <c:f>'Hedging Instrument Comparisons'!$A$30:$A$52</c:f>
              <c:numCache>
                <c:formatCode>0.00%;\-0.00%_);"-  ";" "@" "</c:formatCode>
                <c:ptCount val="23"/>
                <c:pt idx="0">
                  <c:v>0.02</c:v>
                </c:pt>
                <c:pt idx="1">
                  <c:v>2.1000000000000001E-2</c:v>
                </c:pt>
                <c:pt idx="2">
                  <c:v>2.2000000000000002E-2</c:v>
                </c:pt>
                <c:pt idx="3">
                  <c:v>2.3000000000000003E-2</c:v>
                </c:pt>
                <c:pt idx="4">
                  <c:v>2.4000000000000004E-2</c:v>
                </c:pt>
                <c:pt idx="5">
                  <c:v>2.5000000000000005E-2</c:v>
                </c:pt>
                <c:pt idx="6">
                  <c:v>2.6000000000000006E-2</c:v>
                </c:pt>
                <c:pt idx="7">
                  <c:v>2.7000000000000007E-2</c:v>
                </c:pt>
                <c:pt idx="8">
                  <c:v>2.8000000000000008E-2</c:v>
                </c:pt>
                <c:pt idx="9">
                  <c:v>2.9000000000000008E-2</c:v>
                </c:pt>
                <c:pt idx="10">
                  <c:v>3.0000000000000009E-2</c:v>
                </c:pt>
                <c:pt idx="11">
                  <c:v>3.100000000000001E-2</c:v>
                </c:pt>
                <c:pt idx="12">
                  <c:v>3.2000000000000008E-2</c:v>
                </c:pt>
                <c:pt idx="13">
                  <c:v>3.3000000000000008E-2</c:v>
                </c:pt>
                <c:pt idx="14">
                  <c:v>3.4000000000000009E-2</c:v>
                </c:pt>
                <c:pt idx="15">
                  <c:v>3.500000000000001E-2</c:v>
                </c:pt>
                <c:pt idx="16">
                  <c:v>3.6000000000000011E-2</c:v>
                </c:pt>
                <c:pt idx="17">
                  <c:v>3.7000000000000012E-2</c:v>
                </c:pt>
                <c:pt idx="18">
                  <c:v>3.8000000000000013E-2</c:v>
                </c:pt>
                <c:pt idx="19">
                  <c:v>3.9000000000000014E-2</c:v>
                </c:pt>
                <c:pt idx="20">
                  <c:v>4.0000000000000015E-2</c:v>
                </c:pt>
                <c:pt idx="21">
                  <c:v>4.1000000000000016E-2</c:v>
                </c:pt>
                <c:pt idx="22">
                  <c:v>4.2000000000000016E-2</c:v>
                </c:pt>
              </c:numCache>
            </c:numRef>
          </c:xVal>
          <c:yVal>
            <c:numRef>
              <c:f>'Hedging Instrument Comparisons'!$C$30:$C$52</c:f>
              <c:numCache>
                <c:formatCode>#,##0_);\(#,##0\);"-  ";" "@" "</c:formatCode>
                <c:ptCount val="23"/>
                <c:pt idx="0">
                  <c:v>-427500.00000000012</c:v>
                </c:pt>
                <c:pt idx="1">
                  <c:v>-427500.00000000006</c:v>
                </c:pt>
                <c:pt idx="2">
                  <c:v>-427500.00000000012</c:v>
                </c:pt>
                <c:pt idx="3">
                  <c:v>-427499.99999999994</c:v>
                </c:pt>
                <c:pt idx="4">
                  <c:v>-382499.99999999988</c:v>
                </c:pt>
                <c:pt idx="5">
                  <c:v>-337499.99999999983</c:v>
                </c:pt>
                <c:pt idx="6">
                  <c:v>-292499.99999999983</c:v>
                </c:pt>
                <c:pt idx="7">
                  <c:v>-247499.99999999977</c:v>
                </c:pt>
                <c:pt idx="8">
                  <c:v>-202499.99999999974</c:v>
                </c:pt>
                <c:pt idx="9">
                  <c:v>-157499.99999999968</c:v>
                </c:pt>
                <c:pt idx="10">
                  <c:v>-112499.99999999965</c:v>
                </c:pt>
                <c:pt idx="11">
                  <c:v>-67499.999999999651</c:v>
                </c:pt>
                <c:pt idx="12">
                  <c:v>-22499.999999999767</c:v>
                </c:pt>
                <c:pt idx="13">
                  <c:v>22500.000000000291</c:v>
                </c:pt>
                <c:pt idx="14">
                  <c:v>67500.000000000349</c:v>
                </c:pt>
                <c:pt idx="15">
                  <c:v>112500.00000000047</c:v>
                </c:pt>
                <c:pt idx="16">
                  <c:v>157500.00000000035</c:v>
                </c:pt>
                <c:pt idx="17">
                  <c:v>202500.00000000058</c:v>
                </c:pt>
                <c:pt idx="18">
                  <c:v>247500.00000000058</c:v>
                </c:pt>
                <c:pt idx="19">
                  <c:v>292500.00000000047</c:v>
                </c:pt>
                <c:pt idx="20">
                  <c:v>337500.0000000007</c:v>
                </c:pt>
                <c:pt idx="21">
                  <c:v>382500.00000000058</c:v>
                </c:pt>
                <c:pt idx="22">
                  <c:v>427500.00000000058</c:v>
                </c:pt>
              </c:numCache>
            </c:numRef>
          </c:yVal>
          <c:smooth val="1"/>
          <c:extLst>
            <c:ext xmlns:c16="http://schemas.microsoft.com/office/drawing/2014/chart" uri="{C3380CC4-5D6E-409C-BE32-E72D297353CC}">
              <c16:uniqueId val="{00000001-2A02-4C4C-A4F8-7CA48D91D504}"/>
            </c:ext>
          </c:extLst>
        </c:ser>
        <c:ser>
          <c:idx val="2"/>
          <c:order val="2"/>
          <c:tx>
            <c:strRef>
              <c:f>'Hedging Instrument Comparisons'!$D$29</c:f>
              <c:strCache>
                <c:ptCount val="1"/>
                <c:pt idx="0">
                  <c:v> Zero-Cost Collar </c:v>
                </c:pt>
              </c:strCache>
            </c:strRef>
          </c:tx>
          <c:spPr>
            <a:ln w="95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cap="rnd">
                <a:solidFill>
                  <a:schemeClr val="accent3"/>
                </a:solidFill>
                <a:round/>
              </a:ln>
              <a:effectLst>
                <a:outerShdw blurRad="57150" dist="19050" dir="5400000" algn="ctr" rotWithShape="0">
                  <a:srgbClr val="000000">
                    <a:alpha val="63000"/>
                  </a:srgbClr>
                </a:outerShdw>
              </a:effectLst>
            </c:spPr>
          </c:marker>
          <c:dLbls>
            <c:dLbl>
              <c:idx val="5"/>
              <c:layout>
                <c:manualLayout>
                  <c:x val="-1.6378525345929179E-2"/>
                  <c:y val="8.2538279564301875E-2"/>
                </c:manualLayout>
              </c:layout>
              <c:tx>
                <c:rich>
                  <a:bodyPr/>
                  <a:lstStyle/>
                  <a:p>
                    <a:r>
                      <a:rPr lang="en-US"/>
                      <a:t>Original</a:t>
                    </a:r>
                    <a:r>
                      <a:rPr lang="en-US" baseline="0"/>
                      <a:t> Swap Fixed Rate</a:t>
                    </a:r>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779-4377-B3F3-52B1E2297AA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xVal>
            <c:numRef>
              <c:f>'Hedging Instrument Comparisons'!$A$30:$A$52</c:f>
              <c:numCache>
                <c:formatCode>0.00%;\-0.00%_);"-  ";" "@" "</c:formatCode>
                <c:ptCount val="23"/>
                <c:pt idx="0">
                  <c:v>0.02</c:v>
                </c:pt>
                <c:pt idx="1">
                  <c:v>2.1000000000000001E-2</c:v>
                </c:pt>
                <c:pt idx="2">
                  <c:v>2.2000000000000002E-2</c:v>
                </c:pt>
                <c:pt idx="3">
                  <c:v>2.3000000000000003E-2</c:v>
                </c:pt>
                <c:pt idx="4">
                  <c:v>2.4000000000000004E-2</c:v>
                </c:pt>
                <c:pt idx="5">
                  <c:v>2.5000000000000005E-2</c:v>
                </c:pt>
                <c:pt idx="6">
                  <c:v>2.6000000000000006E-2</c:v>
                </c:pt>
                <c:pt idx="7">
                  <c:v>2.7000000000000007E-2</c:v>
                </c:pt>
                <c:pt idx="8">
                  <c:v>2.8000000000000008E-2</c:v>
                </c:pt>
                <c:pt idx="9">
                  <c:v>2.9000000000000008E-2</c:v>
                </c:pt>
                <c:pt idx="10">
                  <c:v>3.0000000000000009E-2</c:v>
                </c:pt>
                <c:pt idx="11">
                  <c:v>3.100000000000001E-2</c:v>
                </c:pt>
                <c:pt idx="12">
                  <c:v>3.2000000000000008E-2</c:v>
                </c:pt>
                <c:pt idx="13">
                  <c:v>3.3000000000000008E-2</c:v>
                </c:pt>
                <c:pt idx="14">
                  <c:v>3.4000000000000009E-2</c:v>
                </c:pt>
                <c:pt idx="15">
                  <c:v>3.500000000000001E-2</c:v>
                </c:pt>
                <c:pt idx="16">
                  <c:v>3.6000000000000011E-2</c:v>
                </c:pt>
                <c:pt idx="17">
                  <c:v>3.7000000000000012E-2</c:v>
                </c:pt>
                <c:pt idx="18">
                  <c:v>3.8000000000000013E-2</c:v>
                </c:pt>
                <c:pt idx="19">
                  <c:v>3.9000000000000014E-2</c:v>
                </c:pt>
                <c:pt idx="20">
                  <c:v>4.0000000000000015E-2</c:v>
                </c:pt>
                <c:pt idx="21">
                  <c:v>4.1000000000000016E-2</c:v>
                </c:pt>
                <c:pt idx="22">
                  <c:v>4.2000000000000016E-2</c:v>
                </c:pt>
              </c:numCache>
            </c:numRef>
          </c:xVal>
          <c:yVal>
            <c:numRef>
              <c:f>'Hedging Instrument Comparisons'!$D$30:$D$52</c:f>
              <c:numCache>
                <c:formatCode>#,##0_);\(#,##0\);"-  ";" "@" "</c:formatCode>
                <c:ptCount val="23"/>
                <c:pt idx="0">
                  <c:v>-90000.000000000087</c:v>
                </c:pt>
                <c:pt idx="1">
                  <c:v>-90000.000000000073</c:v>
                </c:pt>
                <c:pt idx="2">
                  <c:v>-90000.000000000087</c:v>
                </c:pt>
                <c:pt idx="3">
                  <c:v>-89999.999999999942</c:v>
                </c:pt>
                <c:pt idx="4">
                  <c:v>-44999.999999999884</c:v>
                </c:pt>
                <c:pt idx="5">
                  <c:v>1.5612511283791264E-10</c:v>
                </c:pt>
                <c:pt idx="6">
                  <c:v>45000.000000000196</c:v>
                </c:pt>
                <c:pt idx="7">
                  <c:v>90000.000000000247</c:v>
                </c:pt>
                <c:pt idx="8">
                  <c:v>135000.00000000026</c:v>
                </c:pt>
                <c:pt idx="9">
                  <c:v>180000.00000000032</c:v>
                </c:pt>
                <c:pt idx="10">
                  <c:v>225000.00000000035</c:v>
                </c:pt>
                <c:pt idx="11">
                  <c:v>270000.00000000035</c:v>
                </c:pt>
                <c:pt idx="12">
                  <c:v>315000.00000000023</c:v>
                </c:pt>
                <c:pt idx="13">
                  <c:v>360000</c:v>
                </c:pt>
                <c:pt idx="14">
                  <c:v>360000</c:v>
                </c:pt>
                <c:pt idx="15">
                  <c:v>360000.00000000006</c:v>
                </c:pt>
                <c:pt idx="16">
                  <c:v>359999.99999999988</c:v>
                </c:pt>
                <c:pt idx="17">
                  <c:v>360000.00000000012</c:v>
                </c:pt>
                <c:pt idx="18">
                  <c:v>360000.00000000006</c:v>
                </c:pt>
                <c:pt idx="19">
                  <c:v>359999.99999999994</c:v>
                </c:pt>
                <c:pt idx="20">
                  <c:v>360000.00000000012</c:v>
                </c:pt>
                <c:pt idx="21">
                  <c:v>359999.99999999994</c:v>
                </c:pt>
                <c:pt idx="22">
                  <c:v>359999.99999999988</c:v>
                </c:pt>
              </c:numCache>
            </c:numRef>
          </c:yVal>
          <c:smooth val="1"/>
          <c:extLst>
            <c:ext xmlns:c16="http://schemas.microsoft.com/office/drawing/2014/chart" uri="{C3380CC4-5D6E-409C-BE32-E72D297353CC}">
              <c16:uniqueId val="{00000002-2A02-4C4C-A4F8-7CA48D91D504}"/>
            </c:ext>
          </c:extLst>
        </c:ser>
        <c:dLbls>
          <c:showLegendKey val="0"/>
          <c:showVal val="0"/>
          <c:showCatName val="0"/>
          <c:showSerName val="0"/>
          <c:showPercent val="0"/>
          <c:showBubbleSize val="0"/>
        </c:dLbls>
        <c:axId val="376054351"/>
        <c:axId val="388203023"/>
      </c:scatterChart>
      <c:valAx>
        <c:axId val="376054351"/>
        <c:scaling>
          <c:orientation val="minMax"/>
          <c:min val="2.0000000000000004E-2"/>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r>
                  <a:rPr lang="en-US"/>
                  <a:t>Swap</a:t>
                </a:r>
                <a:r>
                  <a:rPr lang="en-US" baseline="0"/>
                  <a:t> Fixed Rate at Expiration</a:t>
                </a:r>
                <a:endParaRPr lang="en-US"/>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endParaRPr lang="en-US"/>
            </a:p>
          </c:txPr>
        </c:title>
        <c:numFmt formatCode="0.00%;\-0.00%_);&quot;-  &quot;;&quot; &quot;@&quot; &quot;"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203023"/>
        <c:crosses val="autoZero"/>
        <c:crossBetween val="midCat"/>
      </c:valAx>
      <c:valAx>
        <c:axId val="38820302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r>
                  <a:rPr lang="en-US"/>
                  <a:t>Strategy</a:t>
                </a:r>
                <a:r>
                  <a:rPr lang="en-US" baseline="0"/>
                  <a:t> Profit</a:t>
                </a:r>
                <a:endParaRPr lang="en-US"/>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endParaRPr lang="en-US"/>
            </a:p>
          </c:txPr>
        </c:title>
        <c:numFmt formatCode="_(&quot;$&quot;* #,##0_);_(&quot;$&quot;* \(#,##0\);_(&quot;$&quot;* &quot;-&quot;??_);_(@_)"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60543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Treasury Par Yield Curve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scatterChart>
        <c:scatterStyle val="smoothMarker"/>
        <c:varyColors val="0"/>
        <c:ser>
          <c:idx val="0"/>
          <c:order val="0"/>
          <c:tx>
            <c:strRef>
              <c:f>Dashboard!$F$31</c:f>
              <c:strCache>
                <c:ptCount val="1"/>
                <c:pt idx="0">
                  <c:v> Original Curve Yield </c:v>
                </c:pt>
              </c:strCache>
            </c:strRef>
          </c:tx>
          <c:spPr>
            <a:ln w="9525" cap="rnd">
              <a:solidFill>
                <a:schemeClr val="accent1"/>
              </a:solidFill>
              <a:round/>
            </a:ln>
            <a:effectLst>
              <a:outerShdw blurRad="57150" dist="19050" dir="5400000" algn="ctr" rotWithShape="0">
                <a:srgbClr val="000000">
                  <a:alpha val="63000"/>
                </a:srgbClr>
              </a:outerShdw>
            </a:effectLst>
          </c:spPr>
          <c:marker>
            <c:symbol val="none"/>
          </c:marker>
          <c:xVal>
            <c:numRef>
              <c:f>Dashboard!$C$32:$C$37</c:f>
              <c:numCache>
                <c:formatCode>#,##0_);\(#,##0\);"-  ";" "@" "</c:formatCode>
                <c:ptCount val="6"/>
                <c:pt idx="0">
                  <c:v>1</c:v>
                </c:pt>
                <c:pt idx="1">
                  <c:v>2</c:v>
                </c:pt>
                <c:pt idx="2">
                  <c:v>5</c:v>
                </c:pt>
                <c:pt idx="3">
                  <c:v>10</c:v>
                </c:pt>
                <c:pt idx="4">
                  <c:v>20</c:v>
                </c:pt>
                <c:pt idx="5">
                  <c:v>30</c:v>
                </c:pt>
              </c:numCache>
            </c:numRef>
          </c:xVal>
          <c:yVal>
            <c:numRef>
              <c:f>Dashboard!$F$32:$F$37</c:f>
              <c:numCache>
                <c:formatCode>0.000%;\-0.000%_);"-  ";" "@" "</c:formatCode>
                <c:ptCount val="6"/>
                <c:pt idx="0">
                  <c:v>4.9399999999999999E-2</c:v>
                </c:pt>
                <c:pt idx="1">
                  <c:v>4.5400000000000003E-2</c:v>
                </c:pt>
                <c:pt idx="2">
                  <c:v>4.1700000000000001E-2</c:v>
                </c:pt>
                <c:pt idx="3">
                  <c:v>4.2000000000000003E-2</c:v>
                </c:pt>
                <c:pt idx="4">
                  <c:v>4.4600000000000001E-2</c:v>
                </c:pt>
                <c:pt idx="5">
                  <c:v>4.3299999999999998E-2</c:v>
                </c:pt>
              </c:numCache>
            </c:numRef>
          </c:yVal>
          <c:smooth val="1"/>
          <c:extLst>
            <c:ext xmlns:c16="http://schemas.microsoft.com/office/drawing/2014/chart" uri="{C3380CC4-5D6E-409C-BE32-E72D297353CC}">
              <c16:uniqueId val="{00000000-EB1A-4E05-A1FC-1708267EA1B7}"/>
            </c:ext>
          </c:extLst>
        </c:ser>
        <c:ser>
          <c:idx val="1"/>
          <c:order val="1"/>
          <c:tx>
            <c:strRef>
              <c:f>Dashboard!$H$31</c:f>
              <c:strCache>
                <c:ptCount val="1"/>
                <c:pt idx="0">
                  <c:v> Liability Disc. Rate </c:v>
                </c:pt>
              </c:strCache>
            </c:strRef>
          </c:tx>
          <c:spPr>
            <a:ln w="9525" cap="rnd">
              <a:solidFill>
                <a:schemeClr val="accent2"/>
              </a:solidFill>
              <a:round/>
            </a:ln>
            <a:effectLst>
              <a:outerShdw blurRad="57150" dist="19050" dir="5400000" algn="ctr" rotWithShape="0">
                <a:srgbClr val="000000">
                  <a:alpha val="63000"/>
                </a:srgbClr>
              </a:outerShdw>
            </a:effectLst>
          </c:spPr>
          <c:marker>
            <c:symbol val="none"/>
          </c:marker>
          <c:xVal>
            <c:numRef>
              <c:f>Dashboard!$C$32:$C$37</c:f>
              <c:numCache>
                <c:formatCode>#,##0_);\(#,##0\);"-  ";" "@" "</c:formatCode>
                <c:ptCount val="6"/>
                <c:pt idx="0">
                  <c:v>1</c:v>
                </c:pt>
                <c:pt idx="1">
                  <c:v>2</c:v>
                </c:pt>
                <c:pt idx="2">
                  <c:v>5</c:v>
                </c:pt>
                <c:pt idx="3">
                  <c:v>10</c:v>
                </c:pt>
                <c:pt idx="4">
                  <c:v>20</c:v>
                </c:pt>
                <c:pt idx="5">
                  <c:v>30</c:v>
                </c:pt>
              </c:numCache>
            </c:numRef>
          </c:xVal>
          <c:yVal>
            <c:numRef>
              <c:f>Dashboard!$G$32:$G$37</c:f>
              <c:numCache>
                <c:formatCode>0.000%;\-0.000%_);"-  ";" "@" "</c:formatCode>
                <c:ptCount val="6"/>
                <c:pt idx="0">
                  <c:v>4.9399999999999999E-2</c:v>
                </c:pt>
                <c:pt idx="1">
                  <c:v>4.5400000000000003E-2</c:v>
                </c:pt>
                <c:pt idx="2">
                  <c:v>4.1700000000000001E-2</c:v>
                </c:pt>
                <c:pt idx="3">
                  <c:v>4.2000000000000003E-2</c:v>
                </c:pt>
                <c:pt idx="4">
                  <c:v>4.4600000000000001E-2</c:v>
                </c:pt>
                <c:pt idx="5">
                  <c:v>4.3299999999999998E-2</c:v>
                </c:pt>
              </c:numCache>
            </c:numRef>
          </c:yVal>
          <c:smooth val="1"/>
          <c:extLst>
            <c:ext xmlns:c16="http://schemas.microsoft.com/office/drawing/2014/chart" uri="{C3380CC4-5D6E-409C-BE32-E72D297353CC}">
              <c16:uniqueId val="{00000001-EB1A-4E05-A1FC-1708267EA1B7}"/>
            </c:ext>
          </c:extLst>
        </c:ser>
        <c:dLbls>
          <c:showLegendKey val="0"/>
          <c:showVal val="0"/>
          <c:showCatName val="0"/>
          <c:showSerName val="0"/>
          <c:showPercent val="0"/>
          <c:showBubbleSize val="0"/>
        </c:dLbls>
        <c:axId val="1967694944"/>
        <c:axId val="605255504"/>
      </c:scatterChart>
      <c:valAx>
        <c:axId val="1967694944"/>
        <c:scaling>
          <c:orientation val="minMax"/>
        </c:scaling>
        <c:delete val="0"/>
        <c:axPos val="b"/>
        <c:majorGridlines>
          <c:spPr>
            <a:ln w="9525" cap="flat" cmpd="sng" algn="ctr">
              <a:solidFill>
                <a:schemeClr val="lt1">
                  <a:lumMod val="95000"/>
                  <a:alpha val="10000"/>
                </a:schemeClr>
              </a:solidFill>
              <a:round/>
            </a:ln>
            <a:effectLst/>
          </c:spPr>
        </c:majorGridlines>
        <c:numFmt formatCode="#,##0_);\(#,##0\);&quot;-  &quot;;&quot; &quot;@&quot; &quot;"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05255504"/>
        <c:crosses val="autoZero"/>
        <c:crossBetween val="midCat"/>
      </c:valAx>
      <c:valAx>
        <c:axId val="605255504"/>
        <c:scaling>
          <c:orientation val="minMax"/>
        </c:scaling>
        <c:delete val="0"/>
        <c:axPos val="l"/>
        <c:majorGridlines>
          <c:spPr>
            <a:ln w="9525" cap="flat" cmpd="sng" algn="ctr">
              <a:solidFill>
                <a:schemeClr val="lt1">
                  <a:lumMod val="95000"/>
                  <a:alpha val="10000"/>
                </a:schemeClr>
              </a:solidFill>
              <a:round/>
            </a:ln>
            <a:effectLst/>
          </c:spPr>
        </c:majorGridlines>
        <c:numFmt formatCode="0.000%;\-0.000%_);&quot;-  &quot;;&quot; &quot;@&quot; &quot;"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676949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Company</a:t>
            </a:r>
            <a:r>
              <a:rPr lang="en-US" baseline="0"/>
              <a:t> Assets vs. Liabilities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Dashboard!$F$6:$G$6</c:f>
              <c:strCache>
                <c:ptCount val="2"/>
                <c:pt idx="0">
                  <c:v> Total Assets </c:v>
                </c:pt>
                <c:pt idx="1">
                  <c:v> Liabilities </c:v>
                </c:pt>
              </c:strCache>
            </c:strRef>
          </c:cat>
          <c:val>
            <c:numRef>
              <c:f>Dashboard!$F$7:$G$7</c:f>
              <c:numCache>
                <c:formatCode>_("$"* #,##0_);_("$"* \(#,##0\);_("$"* "-"??_);_(@_)</c:formatCode>
                <c:ptCount val="2"/>
                <c:pt idx="0">
                  <c:v>1402352.4485554586</c:v>
                </c:pt>
                <c:pt idx="1">
                  <c:v>1221780.0936127508</c:v>
                </c:pt>
              </c:numCache>
            </c:numRef>
          </c:val>
          <c:extLst>
            <c:ext xmlns:c16="http://schemas.microsoft.com/office/drawing/2014/chart" uri="{C3380CC4-5D6E-409C-BE32-E72D297353CC}">
              <c16:uniqueId val="{00000000-334D-4BAB-8244-57705916C2E9}"/>
            </c:ext>
          </c:extLst>
        </c:ser>
        <c:dLbls>
          <c:dLblPos val="outEnd"/>
          <c:showLegendKey val="0"/>
          <c:showVal val="1"/>
          <c:showCatName val="0"/>
          <c:showSerName val="0"/>
          <c:showPercent val="0"/>
          <c:showBubbleSize val="0"/>
        </c:dLbls>
        <c:gapWidth val="100"/>
        <c:overlap val="-24"/>
        <c:axId val="869176911"/>
        <c:axId val="892597279"/>
      </c:barChart>
      <c:catAx>
        <c:axId val="86917691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2597279"/>
        <c:crosses val="autoZero"/>
        <c:auto val="1"/>
        <c:lblAlgn val="ctr"/>
        <c:lblOffset val="100"/>
        <c:noMultiLvlLbl val="0"/>
      </c:catAx>
      <c:valAx>
        <c:axId val="892597279"/>
        <c:scaling>
          <c:orientation val="minMax"/>
        </c:scaling>
        <c:delete val="0"/>
        <c:axPos val="l"/>
        <c:majorGridlines>
          <c:spPr>
            <a:ln w="9525" cap="flat" cmpd="sng" algn="ctr">
              <a:solidFill>
                <a:schemeClr val="lt1">
                  <a:lumMod val="95000"/>
                  <a:alpha val="10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691769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Timeline</a:t>
            </a:r>
            <a:r>
              <a:rPr lang="en-US" baseline="0"/>
              <a:t> of Liability Cashflows</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barChart>
        <c:barDir val="col"/>
        <c:grouping val="clustered"/>
        <c:varyColors val="0"/>
        <c:ser>
          <c:idx val="0"/>
          <c:order val="0"/>
          <c:tx>
            <c:v>Cashflow PV</c:v>
          </c:tx>
          <c:spPr>
            <a:noFill/>
            <a:ln w="9525" cap="flat" cmpd="sng" algn="ctr">
              <a:solidFill>
                <a:schemeClr val="accent1"/>
              </a:solidFill>
              <a:miter lim="800000"/>
            </a:ln>
            <a:effectLst>
              <a:glow rad="63500">
                <a:schemeClr val="accent1">
                  <a:satMod val="175000"/>
                  <a:alpha val="25000"/>
                </a:schemeClr>
              </a:glow>
            </a:effectLst>
          </c:spPr>
          <c:invertIfNegative val="0"/>
          <c:val>
            <c:numRef>
              <c:f>Liabilities!$E$8:$BQ$8</c:f>
              <c:numCache>
                <c:formatCode>#,##0_);\(#,##0\);"-  ";" "@" "</c:formatCode>
                <c:ptCount val="65"/>
                <c:pt idx="0">
                  <c:v>0</c:v>
                </c:pt>
                <c:pt idx="1">
                  <c:v>0</c:v>
                </c:pt>
                <c:pt idx="2">
                  <c:v>0</c:v>
                </c:pt>
                <c:pt idx="3">
                  <c:v>889961.24757001444</c:v>
                </c:pt>
                <c:pt idx="4">
                  <c:v>0</c:v>
                </c:pt>
                <c:pt idx="5">
                  <c:v>0</c:v>
                </c:pt>
                <c:pt idx="6">
                  <c:v>0</c:v>
                </c:pt>
                <c:pt idx="7">
                  <c:v>0</c:v>
                </c:pt>
                <c:pt idx="8">
                  <c:v>0</c:v>
                </c:pt>
                <c:pt idx="9">
                  <c:v>0</c:v>
                </c:pt>
                <c:pt idx="10">
                  <c:v>0</c:v>
                </c:pt>
                <c:pt idx="11">
                  <c:v>0</c:v>
                </c:pt>
                <c:pt idx="12">
                  <c:v>0</c:v>
                </c:pt>
                <c:pt idx="13">
                  <c:v>0</c:v>
                </c:pt>
                <c:pt idx="14">
                  <c:v>0</c:v>
                </c:pt>
                <c:pt idx="15">
                  <c:v>0</c:v>
                </c:pt>
                <c:pt idx="16">
                  <c:v>0</c:v>
                </c:pt>
                <c:pt idx="17">
                  <c:v>38539.213684570801</c:v>
                </c:pt>
                <c:pt idx="18">
                  <c:v>36550.847576413893</c:v>
                </c:pt>
                <c:pt idx="19">
                  <c:v>173325.3394177442</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33399.111463856032</c:v>
                </c:pt>
                <c:pt idx="38">
                  <c:v>12670.37612437634</c:v>
                </c:pt>
                <c:pt idx="39">
                  <c:v>0</c:v>
                </c:pt>
                <c:pt idx="40">
                  <c:v>0</c:v>
                </c:pt>
                <c:pt idx="41">
                  <c:v>0</c:v>
                </c:pt>
                <c:pt idx="42">
                  <c:v>0</c:v>
                </c:pt>
                <c:pt idx="43">
                  <c:v>0</c:v>
                </c:pt>
                <c:pt idx="44">
                  <c:v>0</c:v>
                </c:pt>
                <c:pt idx="45">
                  <c:v>0</c:v>
                </c:pt>
                <c:pt idx="46">
                  <c:v>8293.6619447511985</c:v>
                </c:pt>
                <c:pt idx="47">
                  <c:v>0</c:v>
                </c:pt>
                <c:pt idx="48">
                  <c:v>0</c:v>
                </c:pt>
                <c:pt idx="49">
                  <c:v>0</c:v>
                </c:pt>
                <c:pt idx="50">
                  <c:v>0</c:v>
                </c:pt>
                <c:pt idx="51">
                  <c:v>0</c:v>
                </c:pt>
                <c:pt idx="52">
                  <c:v>0</c:v>
                </c:pt>
                <c:pt idx="53">
                  <c:v>0</c:v>
                </c:pt>
                <c:pt idx="54">
                  <c:v>0</c:v>
                </c:pt>
                <c:pt idx="55">
                  <c:v>0</c:v>
                </c:pt>
                <c:pt idx="56">
                  <c:v>0</c:v>
                </c:pt>
                <c:pt idx="57">
                  <c:v>0</c:v>
                </c:pt>
                <c:pt idx="58">
                  <c:v>0</c:v>
                </c:pt>
                <c:pt idx="59">
                  <c:v>4165.5865749393233</c:v>
                </c:pt>
                <c:pt idx="60">
                  <c:v>0</c:v>
                </c:pt>
                <c:pt idx="61">
                  <c:v>0</c:v>
                </c:pt>
                <c:pt idx="62">
                  <c:v>24874.709256084621</c:v>
                </c:pt>
                <c:pt idx="63">
                  <c:v>0</c:v>
                </c:pt>
                <c:pt idx="64">
                  <c:v>0</c:v>
                </c:pt>
              </c:numCache>
            </c:numRef>
          </c:val>
          <c:extLst>
            <c:ext xmlns:c16="http://schemas.microsoft.com/office/drawing/2014/chart" uri="{C3380CC4-5D6E-409C-BE32-E72D297353CC}">
              <c16:uniqueId val="{00000000-8CFA-45A1-A9CE-9E862DA0FE0C}"/>
            </c:ext>
          </c:extLst>
        </c:ser>
        <c:ser>
          <c:idx val="1"/>
          <c:order val="1"/>
          <c:tx>
            <c:v>Cashflows Raw</c:v>
          </c:tx>
          <c:spPr>
            <a:noFill/>
            <a:ln w="9525" cap="flat" cmpd="sng" algn="ctr">
              <a:solidFill>
                <a:schemeClr val="accent2"/>
              </a:solidFill>
              <a:miter lim="800000"/>
            </a:ln>
            <a:effectLst>
              <a:glow rad="63500">
                <a:schemeClr val="accent2">
                  <a:satMod val="175000"/>
                  <a:alpha val="25000"/>
                </a:schemeClr>
              </a:glow>
            </a:effectLst>
          </c:spPr>
          <c:invertIfNegative val="0"/>
          <c:val>
            <c:numRef>
              <c:f>Liabilities!$E$6:$BQ$6</c:f>
              <c:numCache>
                <c:formatCode>#,##0_);\(#,##0\);"-  ";" "@" "</c:formatCode>
                <c:ptCount val="65"/>
                <c:pt idx="0">
                  <c:v>0</c:v>
                </c:pt>
                <c:pt idx="1">
                  <c:v>0</c:v>
                </c:pt>
                <c:pt idx="2">
                  <c:v>0</c:v>
                </c:pt>
                <c:pt idx="3">
                  <c:v>1100000</c:v>
                </c:pt>
                <c:pt idx="4">
                  <c:v>0</c:v>
                </c:pt>
                <c:pt idx="5">
                  <c:v>0</c:v>
                </c:pt>
                <c:pt idx="6">
                  <c:v>0</c:v>
                </c:pt>
                <c:pt idx="7">
                  <c:v>0</c:v>
                </c:pt>
                <c:pt idx="8">
                  <c:v>0</c:v>
                </c:pt>
                <c:pt idx="9">
                  <c:v>0</c:v>
                </c:pt>
                <c:pt idx="10">
                  <c:v>0</c:v>
                </c:pt>
                <c:pt idx="11">
                  <c:v>0</c:v>
                </c:pt>
                <c:pt idx="12">
                  <c:v>0</c:v>
                </c:pt>
                <c:pt idx="13">
                  <c:v>0</c:v>
                </c:pt>
                <c:pt idx="14">
                  <c:v>0</c:v>
                </c:pt>
                <c:pt idx="15">
                  <c:v>0</c:v>
                </c:pt>
                <c:pt idx="16">
                  <c:v>0</c:v>
                </c:pt>
                <c:pt idx="17">
                  <c:v>100000</c:v>
                </c:pt>
                <c:pt idx="18">
                  <c:v>100000</c:v>
                </c:pt>
                <c:pt idx="19">
                  <c:v>500000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250000</c:v>
                </c:pt>
                <c:pt idx="38">
                  <c:v>100000</c:v>
                </c:pt>
                <c:pt idx="39">
                  <c:v>0</c:v>
                </c:pt>
                <c:pt idx="40">
                  <c:v>0</c:v>
                </c:pt>
                <c:pt idx="41">
                  <c:v>0</c:v>
                </c:pt>
                <c:pt idx="42">
                  <c:v>0</c:v>
                </c:pt>
                <c:pt idx="43">
                  <c:v>0</c:v>
                </c:pt>
                <c:pt idx="44">
                  <c:v>0</c:v>
                </c:pt>
                <c:pt idx="45">
                  <c:v>0</c:v>
                </c:pt>
                <c:pt idx="46">
                  <c:v>100000</c:v>
                </c:pt>
                <c:pt idx="47">
                  <c:v>0</c:v>
                </c:pt>
                <c:pt idx="48">
                  <c:v>0</c:v>
                </c:pt>
                <c:pt idx="49">
                  <c:v>0</c:v>
                </c:pt>
                <c:pt idx="50">
                  <c:v>0</c:v>
                </c:pt>
                <c:pt idx="51">
                  <c:v>0</c:v>
                </c:pt>
                <c:pt idx="52">
                  <c:v>0</c:v>
                </c:pt>
                <c:pt idx="53">
                  <c:v>0</c:v>
                </c:pt>
                <c:pt idx="54">
                  <c:v>0</c:v>
                </c:pt>
                <c:pt idx="55">
                  <c:v>0</c:v>
                </c:pt>
                <c:pt idx="56">
                  <c:v>0</c:v>
                </c:pt>
                <c:pt idx="57">
                  <c:v>0</c:v>
                </c:pt>
                <c:pt idx="58">
                  <c:v>0</c:v>
                </c:pt>
                <c:pt idx="59">
                  <c:v>100000</c:v>
                </c:pt>
                <c:pt idx="60">
                  <c:v>0</c:v>
                </c:pt>
                <c:pt idx="61">
                  <c:v>0</c:v>
                </c:pt>
                <c:pt idx="62">
                  <c:v>700000</c:v>
                </c:pt>
                <c:pt idx="63">
                  <c:v>0</c:v>
                </c:pt>
                <c:pt idx="64">
                  <c:v>0</c:v>
                </c:pt>
              </c:numCache>
            </c:numRef>
          </c:val>
          <c:extLst>
            <c:ext xmlns:c16="http://schemas.microsoft.com/office/drawing/2014/chart" uri="{C3380CC4-5D6E-409C-BE32-E72D297353CC}">
              <c16:uniqueId val="{00000001-8CFA-45A1-A9CE-9E862DA0FE0C}"/>
            </c:ext>
          </c:extLst>
        </c:ser>
        <c:dLbls>
          <c:showLegendKey val="0"/>
          <c:showVal val="0"/>
          <c:showCatName val="0"/>
          <c:showSerName val="0"/>
          <c:showPercent val="0"/>
          <c:showBubbleSize val="0"/>
        </c:dLbls>
        <c:gapWidth val="315"/>
        <c:overlap val="-40"/>
        <c:axId val="994066607"/>
        <c:axId val="989179151"/>
      </c:barChart>
      <c:catAx>
        <c:axId val="994066607"/>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Years</a:t>
                </a:r>
                <a:r>
                  <a:rPr lang="en-US" baseline="0"/>
                  <a:t> Until Payout</a:t>
                </a:r>
                <a:endParaRPr lang="en-US"/>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89179151"/>
        <c:crosses val="autoZero"/>
        <c:auto val="1"/>
        <c:lblAlgn val="ctr"/>
        <c:lblOffset val="100"/>
        <c:noMultiLvlLbl val="0"/>
      </c:catAx>
      <c:valAx>
        <c:axId val="98917915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94066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hyperlink" Target="https://www.primepower.com/blog/maintenance-load-bank-testing-of-standby-gensets-preventive-maintenance-practice-for-epss#:~:text=Load%20bank%20testing%20of%20standby%20gensets%20is%20a%20preventive%20maintenance,operation%20during%20utility%20power%20failure." TargetMode="External"/></Relationships>
</file>

<file path=xl/drawings/drawing1.xml><?xml version="1.0" encoding="utf-8"?>
<xdr:wsDr xmlns:xdr="http://schemas.openxmlformats.org/drawingml/2006/spreadsheetDrawing" xmlns:a="http://schemas.openxmlformats.org/drawingml/2006/main">
  <xdr:twoCellAnchor>
    <xdr:from>
      <xdr:col>0</xdr:col>
      <xdr:colOff>838200</xdr:colOff>
      <xdr:row>5</xdr:row>
      <xdr:rowOff>113241</xdr:rowOff>
    </xdr:from>
    <xdr:to>
      <xdr:col>8</xdr:col>
      <xdr:colOff>571499</xdr:colOff>
      <xdr:row>11</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838200" y="1341966"/>
          <a:ext cx="10229849" cy="972609"/>
        </a:xfrm>
        <a:prstGeom prst="rect">
          <a:avLst/>
        </a:prstGeom>
        <a:solidFill>
          <a:schemeClr val="bg2">
            <a:lumMod val="90000"/>
          </a:schemeClr>
        </a:solidFill>
        <a:ln w="12700"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Arial" panose="020B0604020202020204" pitchFamily="34" charset="0"/>
              <a:cs typeface="Arial" panose="020B0604020202020204" pitchFamily="34" charset="0"/>
            </a:rPr>
            <a:t>Model</a:t>
          </a:r>
          <a:r>
            <a:rPr lang="en-US" sz="1100" baseline="0">
              <a:latin typeface="Arial" panose="020B0604020202020204" pitchFamily="34" charset="0"/>
              <a:cs typeface="Arial" panose="020B0604020202020204" pitchFamily="34" charset="0"/>
            </a:rPr>
            <a:t> Overview:</a:t>
          </a:r>
        </a:p>
        <a:p>
          <a:endParaRPr lang="en-US" sz="1100" baseline="0">
            <a:latin typeface="Arial" panose="020B0604020202020204" pitchFamily="34" charset="0"/>
            <a:cs typeface="Arial" panose="020B0604020202020204" pitchFamily="34" charset="0"/>
          </a:endParaRPr>
        </a:p>
        <a:p>
          <a:r>
            <a:rPr lang="en-US" sz="1100" baseline="0">
              <a:latin typeface="Arial" panose="020B0604020202020204" pitchFamily="34" charset="0"/>
              <a:cs typeface="Arial" panose="020B0604020202020204" pitchFamily="34" charset="0"/>
            </a:rPr>
            <a:t>The dark blue tab is a simple model demonstrating how you could use 2 bonds to duration match a liability. The model shows that duration matching comes with structural risk, i.e. non-parrallel shifts in the yield curve can reduce the effectiveness of the duration match.</a:t>
          </a:r>
        </a:p>
        <a:p>
          <a:pPr marL="171450" indent="-171450">
            <a:buFont typeface="Courier New" panose="02070309020205020404" pitchFamily="49" charset="0"/>
            <a:buChar char="o"/>
          </a:pPr>
          <a:endParaRPr lang="en-US" sz="1100" baseline="0">
            <a:latin typeface="Arial" panose="020B0604020202020204" pitchFamily="34" charset="0"/>
            <a:cs typeface="Arial" panose="020B0604020202020204" pitchFamily="34" charset="0"/>
          </a:endParaRPr>
        </a:p>
        <a:p>
          <a:pPr marL="171450" indent="-171450">
            <a:buFont typeface="Courier New" panose="02070309020205020404" pitchFamily="49" charset="0"/>
            <a:buChar char="o"/>
          </a:pPr>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728114</xdr:colOff>
      <xdr:row>1</xdr:row>
      <xdr:rowOff>88116</xdr:rowOff>
    </xdr:from>
    <xdr:to>
      <xdr:col>13</xdr:col>
      <xdr:colOff>574968</xdr:colOff>
      <xdr:row>12</xdr:row>
      <xdr:rowOff>158019</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701901</xdr:colOff>
      <xdr:row>13</xdr:row>
      <xdr:rowOff>82778</xdr:rowOff>
    </xdr:from>
    <xdr:to>
      <xdr:col>13</xdr:col>
      <xdr:colOff>574901</xdr:colOff>
      <xdr:row>42</xdr:row>
      <xdr:rowOff>145144</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183317</xdr:colOff>
      <xdr:row>13</xdr:row>
      <xdr:rowOff>90714</xdr:rowOff>
    </xdr:from>
    <xdr:to>
      <xdr:col>6</xdr:col>
      <xdr:colOff>541413</xdr:colOff>
      <xdr:row>42</xdr:row>
      <xdr:rowOff>127000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2</xdr:col>
          <xdr:colOff>219075</xdr:colOff>
          <xdr:row>23</xdr:row>
          <xdr:rowOff>47625</xdr:rowOff>
        </xdr:from>
        <xdr:to>
          <xdr:col>4</xdr:col>
          <xdr:colOff>76200</xdr:colOff>
          <xdr:row>24</xdr:row>
          <xdr:rowOff>161925</xdr:rowOff>
        </xdr:to>
        <xdr:sp macro="" textlink="">
          <xdr:nvSpPr>
            <xdr:cNvPr id="274459" name="Button 27" hidden="1">
              <a:extLst>
                <a:ext uri="{63B3BB69-23CF-44E3-9099-C40C66FF867C}">
                  <a14:compatExt spid="_x0000_s274459"/>
                </a:ext>
                <a:ext uri="{FF2B5EF4-FFF2-40B4-BE49-F238E27FC236}">
                  <a16:creationId xmlns:a16="http://schemas.microsoft.com/office/drawing/2014/main" id="{00000000-0008-0000-0900-00001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Rebalance Portfolio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825501</xdr:colOff>
      <xdr:row>4</xdr:row>
      <xdr:rowOff>56091</xdr:rowOff>
    </xdr:from>
    <xdr:to>
      <xdr:col>12</xdr:col>
      <xdr:colOff>486834</xdr:colOff>
      <xdr:row>31</xdr:row>
      <xdr:rowOff>10582</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5746751" y="1103841"/>
          <a:ext cx="9133416" cy="5161491"/>
        </a:xfrm>
        <a:prstGeom prst="rect">
          <a:avLst/>
        </a:prstGeom>
        <a:solidFill>
          <a:schemeClr val="bg2">
            <a:lumMod val="90000"/>
          </a:schemeClr>
        </a:solidFill>
        <a:ln w="12700"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Arial" panose="020B0604020202020204" pitchFamily="34" charset="0"/>
              <a:cs typeface="Arial" panose="020B0604020202020204" pitchFamily="34" charset="0"/>
            </a:rPr>
            <a:t>Scenario:</a:t>
          </a:r>
        </a:p>
        <a:p>
          <a:endParaRPr lang="en-US" sz="1100">
            <a:latin typeface="Arial" panose="020B0604020202020204" pitchFamily="34" charset="0"/>
            <a:cs typeface="Arial" panose="020B0604020202020204" pitchFamily="34" charset="0"/>
          </a:endParaRPr>
        </a:p>
        <a:p>
          <a:r>
            <a:rPr lang="en-US" sz="1100">
              <a:latin typeface="Arial" panose="020B0604020202020204" pitchFamily="34" charset="0"/>
              <a:cs typeface="Arial" panose="020B0604020202020204" pitchFamily="34" charset="0"/>
            </a:rPr>
            <a:t>Company</a:t>
          </a:r>
          <a:r>
            <a:rPr lang="en-US" sz="1100" baseline="0">
              <a:latin typeface="Arial" panose="020B0604020202020204" pitchFamily="34" charset="0"/>
              <a:cs typeface="Arial" panose="020B0604020202020204" pitchFamily="34" charset="0"/>
            </a:rPr>
            <a:t> ABC offers a defined benefit pension plan to their employees. The basis point value of their plan assets is $450k lower than their liabilites (future pension payouts). (The basis point value is an estimate of the change in value of the assets/liabilites for a 1 basis point change in interest rates). The plan is at risk if interest rates decrease, because the liabilites will grow faster than the assets. This is called a </a:t>
          </a:r>
          <a:r>
            <a:rPr lang="en-US" sz="1100" b="1" baseline="0">
              <a:latin typeface="Arial" panose="020B0604020202020204" pitchFamily="34" charset="0"/>
              <a:cs typeface="Arial" panose="020B0604020202020204" pitchFamily="34" charset="0"/>
            </a:rPr>
            <a:t>negative duration gap. </a:t>
          </a:r>
        </a:p>
        <a:p>
          <a:endParaRPr lang="en-US" sz="1100" b="1" baseline="0">
            <a:latin typeface="Arial" panose="020B0604020202020204" pitchFamily="34" charset="0"/>
            <a:cs typeface="Arial" panose="020B0604020202020204" pitchFamily="34" charset="0"/>
          </a:endParaRPr>
        </a:p>
        <a:p>
          <a:r>
            <a:rPr lang="en-US" sz="1100" b="0" baseline="0">
              <a:latin typeface="Arial" panose="020B0604020202020204" pitchFamily="34" charset="0"/>
              <a:cs typeface="Arial" panose="020B0604020202020204" pitchFamily="34" charset="0"/>
            </a:rPr>
            <a:t>To close this gap, the plan manager must increase the duration of the assets. The manager prefers to use deriviative contracts to adjust the duration, because it is quicker and less expensive than adjusting the underlying assets. She prefers using interest rate swaps to treasury futures contracts because she would like to avoid the cash-flow issues associated with posting daily margin.</a:t>
          </a:r>
        </a:p>
        <a:p>
          <a:endParaRPr lang="en-US" sz="1100" b="0" i="0" u="none" strike="noStrike" baseline="0">
            <a:solidFill>
              <a:schemeClr val="dk1"/>
            </a:solidFill>
            <a:effectLst/>
            <a:latin typeface="Arial" panose="020B0604020202020204" pitchFamily="34" charset="0"/>
            <a:ea typeface="+mn-ea"/>
            <a:cs typeface="Arial" panose="020B0604020202020204" pitchFamily="34" charset="0"/>
          </a:endParaRPr>
        </a:p>
        <a:p>
          <a:endParaRPr lang="en-US" sz="1100" b="0" i="0" u="none" strike="noStrike" baseline="0">
            <a:solidFill>
              <a:schemeClr val="dk1"/>
            </a:solidFill>
            <a:effectLst/>
            <a:latin typeface="Arial" panose="020B0604020202020204" pitchFamily="34" charset="0"/>
            <a:ea typeface="+mn-ea"/>
            <a:cs typeface="Arial" panose="020B0604020202020204" pitchFamily="34" charset="0"/>
          </a:endParaRPr>
        </a:p>
        <a:p>
          <a:r>
            <a:rPr lang="en-US" sz="1100" b="0" i="0" u="none" strike="noStrike" baseline="0">
              <a:solidFill>
                <a:schemeClr val="dk1"/>
              </a:solidFill>
              <a:effectLst/>
              <a:latin typeface="Arial" panose="020B0604020202020204" pitchFamily="34" charset="0"/>
              <a:ea typeface="+mn-ea"/>
              <a:cs typeface="Arial" panose="020B0604020202020204" pitchFamily="34" charset="0"/>
            </a:rPr>
            <a:t>Their are 3 available strategies:</a:t>
          </a:r>
        </a:p>
        <a:p>
          <a:endParaRPr lang="en-US" sz="1100" b="0" i="0" u="none" strike="noStrike" baseline="0">
            <a:solidFill>
              <a:schemeClr val="dk1"/>
            </a:solidFill>
            <a:effectLst/>
            <a:latin typeface="Arial" panose="020B0604020202020204" pitchFamily="34" charset="0"/>
            <a:ea typeface="+mn-ea"/>
            <a:cs typeface="Arial" panose="020B0604020202020204" pitchFamily="34" charset="0"/>
          </a:endParaRPr>
        </a:p>
        <a:p>
          <a:r>
            <a:rPr lang="en-US" sz="1100" b="0" i="0" u="none" strike="noStrike" baseline="0">
              <a:solidFill>
                <a:schemeClr val="dk1"/>
              </a:solidFill>
              <a:effectLst/>
              <a:latin typeface="Arial" panose="020B0604020202020204" pitchFamily="34" charset="0"/>
              <a:ea typeface="+mn-ea"/>
              <a:cs typeface="Arial" panose="020B0604020202020204" pitchFamily="34" charset="0"/>
            </a:rPr>
            <a:t>1. Buy a recieve-fixed swap. </a:t>
          </a:r>
        </a:p>
        <a:p>
          <a:r>
            <a:rPr lang="en-US" sz="1100" b="0" i="0" u="none" strike="noStrike" baseline="0">
              <a:solidFill>
                <a:schemeClr val="dk1"/>
              </a:solidFill>
              <a:effectLst/>
              <a:latin typeface="Arial" panose="020B0604020202020204" pitchFamily="34" charset="0"/>
              <a:ea typeface="+mn-ea"/>
              <a:cs typeface="Arial" panose="020B0604020202020204" pitchFamily="34" charset="0"/>
            </a:rPr>
            <a:t>	In a recieve fixed swap, the buyer will recieve interest based on a fixed interest rate, and pay interest on a floating interest rate. Because the fixed leg always carries more duration than the floating leg, buying a recieved fixed swap will increase duration.</a:t>
          </a:r>
        </a:p>
        <a:p>
          <a:endParaRPr lang="en-US" sz="1100" b="0" i="0" u="none" strike="noStrike" baseline="0">
            <a:solidFill>
              <a:schemeClr val="dk1"/>
            </a:solidFill>
            <a:effectLst/>
            <a:latin typeface="Arial" panose="020B0604020202020204" pitchFamily="34" charset="0"/>
            <a:ea typeface="+mn-ea"/>
            <a:cs typeface="Arial" panose="020B0604020202020204" pitchFamily="34" charset="0"/>
          </a:endParaRPr>
        </a:p>
        <a:p>
          <a:r>
            <a:rPr lang="en-US" sz="1100" b="0" i="0" u="none" strike="noStrike" baseline="0">
              <a:solidFill>
                <a:schemeClr val="dk1"/>
              </a:solidFill>
              <a:effectLst/>
              <a:latin typeface="Arial" panose="020B0604020202020204" pitchFamily="34" charset="0"/>
              <a:ea typeface="+mn-ea"/>
              <a:cs typeface="Arial" panose="020B0604020202020204" pitchFamily="34" charset="0"/>
            </a:rPr>
            <a:t>2. </a:t>
          </a:r>
          <a:r>
            <a:rPr lang="en-US" sz="1100" b="0" i="0" u="none" strike="noStrike">
              <a:solidFill>
                <a:schemeClr val="dk1"/>
              </a:solidFill>
              <a:effectLst/>
              <a:latin typeface="Arial" panose="020B0604020202020204" pitchFamily="34" charset="0"/>
              <a:ea typeface="+mn-ea"/>
              <a:cs typeface="Arial" panose="020B0604020202020204" pitchFamily="34" charset="0"/>
            </a:rPr>
            <a:t> Buy a receive fixed swaption.</a:t>
          </a:r>
        </a:p>
        <a:p>
          <a:r>
            <a:rPr lang="en-US" sz="1100" b="0" i="0" u="none" strike="noStrike" baseline="0">
              <a:solidFill>
                <a:schemeClr val="dk1"/>
              </a:solidFill>
              <a:effectLst/>
              <a:latin typeface="Arial" panose="020B0604020202020204" pitchFamily="34" charset="0"/>
              <a:ea typeface="+mn-ea"/>
              <a:cs typeface="Arial" panose="020B0604020202020204" pitchFamily="34" charset="0"/>
            </a:rPr>
            <a:t>	In a recieve fixed swaption, the buyer pays an upfront premium, and has the right to enter a recieve fixed swap at any time. The buyer would only enter a recieve fixed swap when it is beneficial to do so (floating rates decrease, therefore receiving fixed is more attractive). They can retain some upside exposure while hedging downside risk.</a:t>
          </a:r>
        </a:p>
        <a:p>
          <a:endParaRPr lang="en-US" sz="1100" b="0" i="0" u="none" strike="noStrike" baseline="0">
            <a:solidFill>
              <a:schemeClr val="dk1"/>
            </a:solidFill>
            <a:effectLst/>
            <a:latin typeface="+mn-lt"/>
            <a:ea typeface="+mn-ea"/>
            <a:cs typeface="+mn-cs"/>
          </a:endParaRPr>
        </a:p>
        <a:p>
          <a:r>
            <a:rPr lang="en-US" sz="1100" b="0" i="0" u="none" strike="noStrike" baseline="0">
              <a:solidFill>
                <a:schemeClr val="dk1"/>
              </a:solidFill>
              <a:effectLst/>
              <a:latin typeface="Arial" panose="020B0604020202020204" pitchFamily="34" charset="0"/>
              <a:ea typeface="+mn-ea"/>
              <a:cs typeface="Arial" panose="020B0604020202020204" pitchFamily="34" charset="0"/>
            </a:rPr>
            <a:t>3. Create a zero-cost collar by buying a recieve fixed swap and selling a payer swaption</a:t>
          </a:r>
        </a:p>
        <a:p>
          <a:r>
            <a:rPr lang="en-US" sz="1100" b="0" i="0" u="none" strike="noStrike" baseline="0">
              <a:solidFill>
                <a:schemeClr val="dk1"/>
              </a:solidFill>
              <a:effectLst/>
              <a:latin typeface="Arial" panose="020B0604020202020204" pitchFamily="34" charset="0"/>
              <a:ea typeface="+mn-ea"/>
              <a:cs typeface="Arial" panose="020B0604020202020204" pitchFamily="34" charset="0"/>
            </a:rPr>
            <a:t>	This works the same as strategy 2, except that selling a payer swaption will lower the initial cost (premiums offset), but place a limit on the upside potential of the strategy.</a:t>
          </a:r>
        </a:p>
        <a:p>
          <a:endParaRPr lang="en-US" sz="1100" b="0" i="0" u="none" strike="noStrike" baseline="0">
            <a:solidFill>
              <a:schemeClr val="dk1"/>
            </a:solidFill>
            <a:effectLst/>
            <a:latin typeface="Arial" panose="020B0604020202020204" pitchFamily="34" charset="0"/>
            <a:ea typeface="+mn-ea"/>
            <a:cs typeface="Arial" panose="020B0604020202020204" pitchFamily="34" charset="0"/>
          </a:endParaRPr>
        </a:p>
        <a:p>
          <a:endParaRPr lang="en-US" sz="1100" b="0" i="0" u="none" strike="noStrike" baseline="0">
            <a:solidFill>
              <a:schemeClr val="dk1"/>
            </a:solidFill>
            <a:effectLst/>
            <a:latin typeface="Arial" panose="020B0604020202020204" pitchFamily="34" charset="0"/>
            <a:ea typeface="+mn-ea"/>
            <a:cs typeface="Arial" panose="020B0604020202020204" pitchFamily="34" charset="0"/>
          </a:endParaRPr>
        </a:p>
        <a:p>
          <a:r>
            <a:rPr lang="en-US" sz="1100" b="0">
              <a:latin typeface="Arial" panose="020B0604020202020204" pitchFamily="34" charset="0"/>
              <a:cs typeface="Arial" panose="020B0604020202020204" pitchFamily="34" charset="0"/>
            </a:rPr>
            <a:t>The next slide demonstrates the outcome</a:t>
          </a:r>
          <a:r>
            <a:rPr lang="en-US" sz="1100" b="0" baseline="0">
              <a:latin typeface="Arial" panose="020B0604020202020204" pitchFamily="34" charset="0"/>
              <a:cs typeface="Arial" panose="020B0604020202020204" pitchFamily="34" charset="0"/>
            </a:rPr>
            <a:t> of each strategy under different future interest rates.</a:t>
          </a:r>
          <a:endParaRPr lang="en-US" sz="1100" b="0">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67732</xdr:colOff>
      <xdr:row>2</xdr:row>
      <xdr:rowOff>84667</xdr:rowOff>
    </xdr:from>
    <xdr:to>
      <xdr:col>11</xdr:col>
      <xdr:colOff>683682</xdr:colOff>
      <xdr:row>27</xdr:row>
      <xdr:rowOff>7409</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730250</xdr:colOff>
      <xdr:row>2</xdr:row>
      <xdr:rowOff>77259</xdr:rowOff>
    </xdr:from>
    <xdr:to>
      <xdr:col>16</xdr:col>
      <xdr:colOff>140758</xdr:colOff>
      <xdr:row>27</xdr:row>
      <xdr:rowOff>63501</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4340417" y="765176"/>
          <a:ext cx="4120091" cy="4833408"/>
        </a:xfrm>
        <a:prstGeom prst="rect">
          <a:avLst/>
        </a:prstGeom>
        <a:solidFill>
          <a:schemeClr val="bg2">
            <a:lumMod val="90000"/>
          </a:schemeClr>
        </a:solidFill>
        <a:ln w="12700"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Arial" panose="020B0604020202020204" pitchFamily="34" charset="0"/>
              <a:cs typeface="Arial" panose="020B0604020202020204" pitchFamily="34" charset="0"/>
            </a:rPr>
            <a:t>The diagram shows that:</a:t>
          </a:r>
        </a:p>
        <a:p>
          <a:endParaRPr lang="en-US" sz="1100">
            <a:latin typeface="Arial" panose="020B0604020202020204" pitchFamily="34" charset="0"/>
            <a:cs typeface="Arial" panose="020B0604020202020204" pitchFamily="34" charset="0"/>
          </a:endParaRPr>
        </a:p>
        <a:p>
          <a:r>
            <a:rPr lang="en-US" sz="1100">
              <a:latin typeface="Arial" panose="020B0604020202020204" pitchFamily="34" charset="0"/>
              <a:cs typeface="Arial" panose="020B0604020202020204" pitchFamily="34" charset="0"/>
            </a:rPr>
            <a:t>If</a:t>
          </a:r>
          <a:r>
            <a:rPr lang="en-US" sz="1100" baseline="0">
              <a:latin typeface="Arial" panose="020B0604020202020204" pitchFamily="34" charset="0"/>
              <a:cs typeface="Arial" panose="020B0604020202020204" pitchFamily="34" charset="0"/>
            </a:rPr>
            <a:t> the </a:t>
          </a:r>
          <a:r>
            <a:rPr lang="en-US" sz="1100" b="1" baseline="0">
              <a:latin typeface="Arial" panose="020B0604020202020204" pitchFamily="34" charset="0"/>
              <a:cs typeface="Arial" panose="020B0604020202020204" pitchFamily="34" charset="0"/>
            </a:rPr>
            <a:t>future rate is below the current </a:t>
          </a:r>
          <a:r>
            <a:rPr lang="en-US" sz="1100" baseline="0">
              <a:latin typeface="Arial" panose="020B0604020202020204" pitchFamily="34" charset="0"/>
              <a:cs typeface="Arial" panose="020B0604020202020204" pitchFamily="34" charset="0"/>
            </a:rPr>
            <a:t>swap fixed rate (in this case 2.5%), then using a </a:t>
          </a:r>
          <a:r>
            <a:rPr lang="en-US" sz="1100" b="1" baseline="0">
              <a:latin typeface="Arial" panose="020B0604020202020204" pitchFamily="34" charset="0"/>
              <a:cs typeface="Arial" panose="020B0604020202020204" pitchFamily="34" charset="0"/>
            </a:rPr>
            <a:t>fixed rate swap</a:t>
          </a:r>
          <a:r>
            <a:rPr lang="en-US" sz="1100" baseline="0">
              <a:latin typeface="Arial" panose="020B0604020202020204" pitchFamily="34" charset="0"/>
              <a:cs typeface="Arial" panose="020B0604020202020204" pitchFamily="34" charset="0"/>
            </a:rPr>
            <a:t> will be </a:t>
          </a:r>
          <a:r>
            <a:rPr lang="en-US" sz="1100" b="1" baseline="0">
              <a:latin typeface="Arial" panose="020B0604020202020204" pitchFamily="34" charset="0"/>
              <a:cs typeface="Arial" panose="020B0604020202020204" pitchFamily="34" charset="0"/>
            </a:rPr>
            <a:t>optimal</a:t>
          </a:r>
          <a:r>
            <a:rPr lang="en-US" sz="1100" baseline="0">
              <a:latin typeface="Arial" panose="020B0604020202020204" pitchFamily="34" charset="0"/>
              <a:cs typeface="Arial" panose="020B0604020202020204" pitchFamily="34" charset="0"/>
            </a:rPr>
            <a:t>. This is because the strike is higher than a reciever swaption, (benefits kick in quicker) and no premium must be paid. Notice the portfolio is 100% hedged, meaning you will participate in zero downside or upside impact from rate movements.</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r>
            <a:rPr lang="en-US" sz="1100" baseline="0">
              <a:latin typeface="Arial" panose="020B0604020202020204" pitchFamily="34" charset="0"/>
              <a:cs typeface="Arial" panose="020B0604020202020204" pitchFamily="34" charset="0"/>
            </a:rPr>
            <a:t>If the </a:t>
          </a:r>
          <a:r>
            <a:rPr lang="en-US" sz="1100" b="1" baseline="0">
              <a:latin typeface="Arial" panose="020B0604020202020204" pitchFamily="34" charset="0"/>
              <a:cs typeface="Arial" panose="020B0604020202020204" pitchFamily="34" charset="0"/>
            </a:rPr>
            <a:t>future rate is above</a:t>
          </a:r>
          <a:r>
            <a:rPr lang="en-US" sz="1100" baseline="0">
              <a:latin typeface="Arial" panose="020B0604020202020204" pitchFamily="34" charset="0"/>
              <a:cs typeface="Arial" panose="020B0604020202020204" pitchFamily="34" charset="0"/>
            </a:rPr>
            <a:t> </a:t>
          </a:r>
          <a:r>
            <a:rPr lang="en-US" sz="1100" b="1" baseline="0">
              <a:latin typeface="Arial" panose="020B0604020202020204" pitchFamily="34" charset="0"/>
              <a:cs typeface="Arial" panose="020B0604020202020204" pitchFamily="34" charset="0"/>
            </a:rPr>
            <a:t>the current </a:t>
          </a:r>
          <a:r>
            <a:rPr lang="en-US" sz="1100" baseline="0">
              <a:latin typeface="Arial" panose="020B0604020202020204" pitchFamily="34" charset="0"/>
              <a:cs typeface="Arial" panose="020B0604020202020204" pitchFamily="34" charset="0"/>
            </a:rPr>
            <a:t>SFR but </a:t>
          </a:r>
          <a:r>
            <a:rPr lang="en-US" sz="1100" b="1" baseline="0">
              <a:latin typeface="Arial" panose="020B0604020202020204" pitchFamily="34" charset="0"/>
              <a:cs typeface="Arial" panose="020B0604020202020204" pitchFamily="34" charset="0"/>
            </a:rPr>
            <a:t>below the payer swaption </a:t>
          </a:r>
          <a:r>
            <a:rPr lang="en-US" sz="1100" baseline="0">
              <a:latin typeface="Arial" panose="020B0604020202020204" pitchFamily="34" charset="0"/>
              <a:cs typeface="Arial" panose="020B0604020202020204" pitchFamily="34" charset="0"/>
            </a:rPr>
            <a:t>strike (in this case 3.3%), a </a:t>
          </a:r>
          <a:r>
            <a:rPr lang="en-US" sz="1100" b="1" baseline="0">
              <a:latin typeface="Arial" panose="020B0604020202020204" pitchFamily="34" charset="0"/>
              <a:cs typeface="Arial" panose="020B0604020202020204" pitchFamily="34" charset="0"/>
            </a:rPr>
            <a:t>zero cost collar </a:t>
          </a:r>
          <a:r>
            <a:rPr lang="en-US" sz="1100" baseline="0">
              <a:latin typeface="Arial" panose="020B0604020202020204" pitchFamily="34" charset="0"/>
              <a:cs typeface="Arial" panose="020B0604020202020204" pitchFamily="34" charset="0"/>
            </a:rPr>
            <a:t>will be </a:t>
          </a:r>
          <a:r>
            <a:rPr lang="en-US" sz="1100" b="1" baseline="0">
              <a:latin typeface="Arial" panose="020B0604020202020204" pitchFamily="34" charset="0"/>
              <a:cs typeface="Arial" panose="020B0604020202020204" pitchFamily="34" charset="0"/>
            </a:rPr>
            <a:t>optimal</a:t>
          </a:r>
          <a:r>
            <a:rPr lang="en-US" sz="1100" baseline="0">
              <a:latin typeface="Arial" panose="020B0604020202020204" pitchFamily="34" charset="0"/>
              <a:cs typeface="Arial" panose="020B0604020202020204" pitchFamily="34" charset="0"/>
            </a:rPr>
            <a:t>. This is because both the reciever swaption and payer swaption are out of the money. The portfolio is allowed to benefit from upward rate movements within a confined range. Futhermore, because there was a net-zero premium paid, the collar out-performs the reciever swaption.</a:t>
          </a:r>
        </a:p>
        <a:p>
          <a:endParaRPr lang="en-US" sz="1100" baseline="0">
            <a:latin typeface="Arial" panose="020B0604020202020204" pitchFamily="34" charset="0"/>
            <a:cs typeface="Arial" panose="020B0604020202020204" pitchFamily="34" charset="0"/>
          </a:endParaRPr>
        </a:p>
        <a:p>
          <a:r>
            <a:rPr lang="en-US" sz="1100" baseline="0">
              <a:latin typeface="Arial" panose="020B0604020202020204" pitchFamily="34" charset="0"/>
              <a:cs typeface="Arial" panose="020B0604020202020204" pitchFamily="34" charset="0"/>
            </a:rPr>
            <a:t>At some </a:t>
          </a:r>
          <a:r>
            <a:rPr lang="en-US" sz="1100" b="1" baseline="0">
              <a:latin typeface="Arial" panose="020B0604020202020204" pitchFamily="34" charset="0"/>
              <a:cs typeface="Arial" panose="020B0604020202020204" pitchFamily="34" charset="0"/>
            </a:rPr>
            <a:t>future rate above the payer swaption </a:t>
          </a:r>
          <a:r>
            <a:rPr lang="en-US" sz="1100" baseline="0">
              <a:latin typeface="Arial" panose="020B0604020202020204" pitchFamily="34" charset="0"/>
              <a:cs typeface="Arial" panose="020B0604020202020204" pitchFamily="34" charset="0"/>
            </a:rPr>
            <a:t>strike, the </a:t>
          </a:r>
          <a:r>
            <a:rPr lang="en-US" sz="1100" b="1" baseline="0">
              <a:latin typeface="Arial" panose="020B0604020202020204" pitchFamily="34" charset="0"/>
              <a:cs typeface="Arial" panose="020B0604020202020204" pitchFamily="34" charset="0"/>
            </a:rPr>
            <a:t>reciever swaption </a:t>
          </a:r>
          <a:r>
            <a:rPr lang="en-US" sz="1100" baseline="0">
              <a:latin typeface="Arial" panose="020B0604020202020204" pitchFamily="34" charset="0"/>
              <a:cs typeface="Arial" panose="020B0604020202020204" pitchFamily="34" charset="0"/>
            </a:rPr>
            <a:t>will </a:t>
          </a:r>
          <a:r>
            <a:rPr lang="en-US" sz="1100" b="1" baseline="0">
              <a:latin typeface="Arial" panose="020B0604020202020204" pitchFamily="34" charset="0"/>
              <a:cs typeface="Arial" panose="020B0604020202020204" pitchFamily="34" charset="0"/>
            </a:rPr>
            <a:t>be optimal</a:t>
          </a:r>
          <a:r>
            <a:rPr lang="en-US" sz="1100" baseline="0">
              <a:latin typeface="Arial" panose="020B0604020202020204" pitchFamily="34" charset="0"/>
              <a:cs typeface="Arial" panose="020B0604020202020204" pitchFamily="34" charset="0"/>
            </a:rPr>
            <a:t>. Unlike the zero-cost collar, the portfolio is allowed to benefit without limit from all upward rate movements. Eventually it will overtake the zero-cost collar.</a:t>
          </a:r>
        </a:p>
        <a:p>
          <a:endParaRPr lang="en-US" sz="1100" baseline="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a:p>
          <a:r>
            <a:rPr lang="en-US" sz="1100">
              <a:latin typeface="Arial" panose="020B0604020202020204" pitchFamily="34" charset="0"/>
              <a:cs typeface="Arial" panose="020B0604020202020204" pitchFamily="34" charset="0"/>
            </a:rPr>
            <a:t>Even</a:t>
          </a:r>
          <a:r>
            <a:rPr lang="en-US" sz="1100" baseline="0">
              <a:latin typeface="Arial" panose="020B0604020202020204" pitchFamily="34" charset="0"/>
              <a:cs typeface="Arial" panose="020B0604020202020204" pitchFamily="34" charset="0"/>
            </a:rPr>
            <a:t> though the purpose of hedging is to reduce interest rate risk, selecting the optimal hedge does require some ability to </a:t>
          </a:r>
          <a:r>
            <a:rPr lang="en-US" sz="1100" b="1" baseline="0">
              <a:latin typeface="Arial" panose="020B0604020202020204" pitchFamily="34" charset="0"/>
              <a:cs typeface="Arial" panose="020B0604020202020204" pitchFamily="34" charset="0"/>
            </a:rPr>
            <a:t>predict the direction and magnitude</a:t>
          </a:r>
          <a:r>
            <a:rPr lang="en-US" sz="1100" baseline="0">
              <a:latin typeface="Arial" panose="020B0604020202020204" pitchFamily="34" charset="0"/>
              <a:cs typeface="Arial" panose="020B0604020202020204" pitchFamily="34" charset="0"/>
            </a:rPr>
            <a:t> of rate movements.</a:t>
          </a:r>
          <a:endParaRPr lang="en-US" sz="1100">
            <a:latin typeface="Arial" panose="020B0604020202020204" pitchFamily="34" charset="0"/>
            <a:cs typeface="Arial" panose="020B06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838200</xdr:colOff>
      <xdr:row>5</xdr:row>
      <xdr:rowOff>113241</xdr:rowOff>
    </xdr:from>
    <xdr:to>
      <xdr:col>8</xdr:col>
      <xdr:colOff>571499</xdr:colOff>
      <xdr:row>26</xdr:row>
      <xdr:rowOff>142876</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838200" y="1341966"/>
          <a:ext cx="10229849" cy="3830110"/>
        </a:xfrm>
        <a:prstGeom prst="rect">
          <a:avLst/>
        </a:prstGeom>
        <a:solidFill>
          <a:schemeClr val="bg2">
            <a:lumMod val="90000"/>
          </a:schemeClr>
        </a:solidFill>
        <a:ln w="12700"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Arial" panose="020B0604020202020204" pitchFamily="34" charset="0"/>
              <a:cs typeface="Arial" panose="020B0604020202020204" pitchFamily="34" charset="0"/>
            </a:rPr>
            <a:t>Model</a:t>
          </a:r>
          <a:r>
            <a:rPr lang="en-US" sz="1100" baseline="0">
              <a:latin typeface="Arial" panose="020B0604020202020204" pitchFamily="34" charset="0"/>
              <a:cs typeface="Arial" panose="020B0604020202020204" pitchFamily="34" charset="0"/>
            </a:rPr>
            <a:t> Overview:</a:t>
          </a:r>
        </a:p>
        <a:p>
          <a:endParaRPr lang="en-US" sz="1100" baseline="0">
            <a:latin typeface="Arial" panose="020B0604020202020204" pitchFamily="34" charset="0"/>
            <a:cs typeface="Arial" panose="020B0604020202020204" pitchFamily="34" charset="0"/>
          </a:endParaRPr>
        </a:p>
        <a:p>
          <a:r>
            <a:rPr lang="en-US" sz="1100" baseline="0">
              <a:latin typeface="Arial" panose="020B0604020202020204" pitchFamily="34" charset="0"/>
              <a:cs typeface="Arial" panose="020B0604020202020204" pitchFamily="34" charset="0"/>
            </a:rPr>
            <a:t>The green tabs in this workbook demonstrate how Balance Sheet Immunization would be used by a life insurance company. The investments must be large enough to </a:t>
          </a:r>
          <a:r>
            <a:rPr lang="en-US" sz="1100" u="sng" baseline="0">
              <a:latin typeface="Arial" panose="020B0604020202020204" pitchFamily="34" charset="0"/>
              <a:cs typeface="Arial" panose="020B0604020202020204" pitchFamily="34" charset="0"/>
            </a:rPr>
            <a:t>fund the life insurance payouts </a:t>
          </a:r>
          <a:r>
            <a:rPr lang="en-US" sz="1100" baseline="0">
              <a:latin typeface="Arial" panose="020B0604020202020204" pitchFamily="34" charset="0"/>
              <a:cs typeface="Arial" panose="020B0604020202020204" pitchFamily="34" charset="0"/>
            </a:rPr>
            <a:t>as they come due, and should be </a:t>
          </a:r>
          <a:r>
            <a:rPr lang="en-US" sz="1100" u="sng" baseline="0">
              <a:latin typeface="Arial" panose="020B0604020202020204" pitchFamily="34" charset="0"/>
              <a:cs typeface="Arial" panose="020B0604020202020204" pitchFamily="34" charset="0"/>
            </a:rPr>
            <a:t>protected from interest rate risk</a:t>
          </a:r>
          <a:r>
            <a:rPr lang="en-US" sz="1100" baseline="0">
              <a:latin typeface="Arial" panose="020B0604020202020204" pitchFamily="34" charset="0"/>
              <a:cs typeface="Arial" panose="020B0604020202020204" pitchFamily="34" charset="0"/>
            </a:rPr>
            <a:t>.</a:t>
          </a: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r>
            <a:rPr lang="en-US" sz="1100" baseline="0">
              <a:latin typeface="Arial" panose="020B0604020202020204" pitchFamily="34" charset="0"/>
              <a:cs typeface="Arial" panose="020B0604020202020204" pitchFamily="34" charset="0"/>
            </a:rPr>
            <a:t>Simplifying Assumptions about the Life Insurance Company:</a:t>
          </a:r>
        </a:p>
        <a:p>
          <a:endParaRPr lang="en-US" sz="1100" baseline="0">
            <a:latin typeface="Arial" panose="020B0604020202020204" pitchFamily="34" charset="0"/>
            <a:cs typeface="Arial" panose="020B0604020202020204" pitchFamily="34" charset="0"/>
          </a:endParaRPr>
        </a:p>
        <a:p>
          <a:pPr marL="171450" indent="-171450">
            <a:buFont typeface="Courier New" panose="02070309020205020404" pitchFamily="49" charset="0"/>
            <a:buChar char="o"/>
          </a:pPr>
          <a:r>
            <a:rPr lang="en-US" sz="1100" baseline="0">
              <a:latin typeface="Arial" panose="020B0604020202020204" pitchFamily="34" charset="0"/>
              <a:cs typeface="Arial" panose="020B0604020202020204" pitchFamily="34" charset="0"/>
            </a:rPr>
            <a:t>The company only offers whole life policies (everyone will receive a payout upon death and level premiums will be paid annually until death)</a:t>
          </a:r>
        </a:p>
        <a:p>
          <a:pPr marL="171450" indent="-171450">
            <a:buFont typeface="Courier New" panose="02070309020205020404" pitchFamily="49" charset="0"/>
            <a:buChar char="o"/>
          </a:pPr>
          <a:r>
            <a:rPr lang="en-US" sz="1100" baseline="0">
              <a:latin typeface="Arial" panose="020B0604020202020204" pitchFamily="34" charset="0"/>
              <a:cs typeface="Arial" panose="020B0604020202020204" pitchFamily="34" charset="0"/>
            </a:rPr>
            <a:t>There are no early surrender options</a:t>
          </a:r>
        </a:p>
        <a:p>
          <a:pPr marL="171450" indent="-171450">
            <a:buFont typeface="Courier New" panose="02070309020205020404" pitchFamily="49" charset="0"/>
            <a:buChar char="o"/>
          </a:pPr>
          <a:r>
            <a:rPr lang="en-US" sz="1100" baseline="0">
              <a:latin typeface="Arial" panose="020B0604020202020204" pitchFamily="34" charset="0"/>
              <a:cs typeface="Arial" panose="020B0604020202020204" pitchFamily="34" charset="0"/>
            </a:rPr>
            <a:t>The company only has 10 clients, and will not be taking on any future clients.</a:t>
          </a:r>
        </a:p>
        <a:p>
          <a:pPr marL="171450" indent="-171450">
            <a:buFont typeface="Courier New" panose="02070309020205020404" pitchFamily="49" charset="0"/>
            <a:buChar char="o"/>
          </a:pPr>
          <a:endParaRPr lang="en-US" sz="1100" baseline="0">
            <a:latin typeface="Arial" panose="020B0604020202020204" pitchFamily="34" charset="0"/>
            <a:cs typeface="Arial" panose="020B0604020202020204" pitchFamily="34" charset="0"/>
          </a:endParaRPr>
        </a:p>
        <a:p>
          <a:pPr marL="171450" indent="-171450">
            <a:buFont typeface="Courier New" panose="02070309020205020404" pitchFamily="49" charset="0"/>
            <a:buChar char="o"/>
          </a:pPr>
          <a:endParaRPr lang="en-US" sz="1100" baseline="0">
            <a:latin typeface="Arial" panose="020B0604020202020204" pitchFamily="34" charset="0"/>
            <a:cs typeface="Arial" panose="020B0604020202020204" pitchFamily="34" charset="0"/>
          </a:endParaRPr>
        </a:p>
        <a:p>
          <a:pPr marL="0" indent="0">
            <a:buFontTx/>
            <a:buNone/>
          </a:pPr>
          <a:r>
            <a:rPr lang="en-US" sz="1100" baseline="0">
              <a:latin typeface="Arial" panose="020B0604020202020204" pitchFamily="34" charset="0"/>
              <a:cs typeface="Arial" panose="020B0604020202020204" pitchFamily="34" charset="0"/>
            </a:rPr>
            <a:t>Other Simplifying Assumptions:</a:t>
          </a:r>
        </a:p>
        <a:p>
          <a:pPr marL="0" indent="0">
            <a:buFontTx/>
            <a:buNone/>
          </a:pPr>
          <a:endParaRPr lang="en-US" sz="1100" baseline="0">
            <a:latin typeface="Arial" panose="020B0604020202020204" pitchFamily="34" charset="0"/>
            <a:cs typeface="Arial" panose="020B0604020202020204" pitchFamily="34" charset="0"/>
          </a:endParaRPr>
        </a:p>
        <a:p>
          <a:pPr marL="171450" indent="-171450">
            <a:buFont typeface="Courier New" panose="02070309020205020404" pitchFamily="49" charset="0"/>
            <a:buChar char="o"/>
          </a:pPr>
          <a:r>
            <a:rPr lang="en-US" sz="1100" baseline="0">
              <a:latin typeface="Arial" panose="020B0604020202020204" pitchFamily="34" charset="0"/>
              <a:cs typeface="Arial" panose="020B0604020202020204" pitchFamily="34" charset="0"/>
            </a:rPr>
            <a:t>The appropriate discount rate for the plan payouts is the treasury yield</a:t>
          </a:r>
        </a:p>
        <a:p>
          <a:pPr marL="171450" indent="-171450">
            <a:buFont typeface="Courier New" panose="02070309020205020404" pitchFamily="49" charset="0"/>
            <a:buChar char="o"/>
          </a:pPr>
          <a:r>
            <a:rPr lang="en-US" sz="1100" baseline="0">
              <a:latin typeface="Arial" panose="020B0604020202020204" pitchFamily="34" charset="0"/>
              <a:cs typeface="Arial" panose="020B0604020202020204" pitchFamily="34" charset="0"/>
            </a:rPr>
            <a:t>In addition to future premiums, the company has assets already in place, a mix of equity and zero coupon bonds</a:t>
          </a:r>
        </a:p>
        <a:p>
          <a:pPr marL="171450" indent="-171450">
            <a:buFont typeface="Courier New" panose="02070309020205020404" pitchFamily="49" charset="0"/>
            <a:buChar char="o"/>
          </a:pPr>
          <a:r>
            <a:rPr lang="en-US" sz="1100" baseline="0">
              <a:latin typeface="Arial" panose="020B0604020202020204" pitchFamily="34" charset="0"/>
              <a:cs typeface="Arial" panose="020B0604020202020204" pitchFamily="34" charset="0"/>
            </a:rPr>
            <a:t>Assumes that interest rate swaps follow treasury rates</a:t>
          </a:r>
        </a:p>
        <a:p>
          <a:pPr marL="171450" indent="-171450">
            <a:buFont typeface="Courier New" panose="02070309020205020404" pitchFamily="49" charset="0"/>
            <a:buChar char="o"/>
          </a:pPr>
          <a:endParaRPr lang="en-US" sz="1100" baseline="0">
            <a:latin typeface="Arial" panose="020B0604020202020204" pitchFamily="34" charset="0"/>
            <a:cs typeface="Arial" panose="020B0604020202020204" pitchFamily="34" charset="0"/>
          </a:endParaRPr>
        </a:p>
        <a:p>
          <a:pPr marL="171450" indent="-171450">
            <a:buFont typeface="Courier New" panose="02070309020205020404" pitchFamily="49" charset="0"/>
            <a:buChar char="o"/>
          </a:pPr>
          <a:endParaRPr lang="en-US" sz="1100" baseline="0">
            <a:latin typeface="Arial" panose="020B0604020202020204" pitchFamily="34" charset="0"/>
            <a:cs typeface="Arial" panose="020B0604020202020204" pitchFamily="34" charset="0"/>
          </a:endParaRPr>
        </a:p>
        <a:p>
          <a:pPr marL="171450" indent="-171450">
            <a:buFont typeface="Courier New" panose="02070309020205020404" pitchFamily="49" charset="0"/>
            <a:buChar char="o"/>
          </a:pPr>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a:p>
          <a:endParaRPr lang="en-US" sz="1100" baseline="0">
            <a:latin typeface="Arial" panose="020B0604020202020204" pitchFamily="34" charset="0"/>
            <a:cs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237065</xdr:colOff>
      <xdr:row>39</xdr:row>
      <xdr:rowOff>9524</xdr:rowOff>
    </xdr:from>
    <xdr:to>
      <xdr:col>5</xdr:col>
      <xdr:colOff>1200149</xdr:colOff>
      <xdr:row>53</xdr:row>
      <xdr:rowOff>171449</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314325</xdr:colOff>
          <xdr:row>13</xdr:row>
          <xdr:rowOff>57150</xdr:rowOff>
        </xdr:from>
        <xdr:to>
          <xdr:col>6</xdr:col>
          <xdr:colOff>161925</xdr:colOff>
          <xdr:row>13</xdr:row>
          <xdr:rowOff>285750</xdr:rowOff>
        </xdr:to>
        <xdr:sp macro="" textlink="">
          <xdr:nvSpPr>
            <xdr:cNvPr id="341008" name="Button 16" hidden="1">
              <a:extLst>
                <a:ext uri="{63B3BB69-23CF-44E3-9099-C40C66FF867C}">
                  <a14:compatExt spid="_x0000_s341008"/>
                </a:ext>
                <a:ext uri="{FF2B5EF4-FFF2-40B4-BE49-F238E27FC236}">
                  <a16:creationId xmlns:a16="http://schemas.microsoft.com/office/drawing/2014/main" id="{00000000-0008-0000-0E00-00001034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Estimate Effective Duration</a:t>
              </a:r>
            </a:p>
          </xdr:txBody>
        </xdr:sp>
        <xdr:clientData fPrintsWithSheet="0"/>
      </xdr:twoCellAnchor>
    </mc:Choice>
    <mc:Fallback/>
  </mc:AlternateContent>
  <xdr:twoCellAnchor>
    <xdr:from>
      <xdr:col>6</xdr:col>
      <xdr:colOff>28574</xdr:colOff>
      <xdr:row>39</xdr:row>
      <xdr:rowOff>19050</xdr:rowOff>
    </xdr:from>
    <xdr:to>
      <xdr:col>11</xdr:col>
      <xdr:colOff>400050</xdr:colOff>
      <xdr:row>53</xdr:row>
      <xdr:rowOff>142875</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92074</xdr:colOff>
      <xdr:row>3</xdr:row>
      <xdr:rowOff>4234</xdr:rowOff>
    </xdr:from>
    <xdr:to>
      <xdr:col>21</xdr:col>
      <xdr:colOff>314325</xdr:colOff>
      <xdr:row>29</xdr:row>
      <xdr:rowOff>123824</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8864599" y="794809"/>
          <a:ext cx="7680326" cy="2719915"/>
        </a:xfrm>
        <a:prstGeom prst="rect">
          <a:avLst/>
        </a:prstGeom>
        <a:solidFill>
          <a:schemeClr val="bg2">
            <a:lumMod val="90000"/>
          </a:schemeClr>
        </a:solidFill>
        <a:ln w="12700"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latin typeface="Arial" panose="020B0604020202020204" pitchFamily="34" charset="0"/>
              <a:cs typeface="Arial" panose="020B0604020202020204" pitchFamily="34" charset="0"/>
            </a:rPr>
            <a:t>Rules</a:t>
          </a:r>
          <a:r>
            <a:rPr lang="en-US" sz="1600" baseline="0">
              <a:latin typeface="Arial" panose="020B0604020202020204" pitchFamily="34" charset="0"/>
              <a:cs typeface="Arial" panose="020B0604020202020204" pitchFamily="34" charset="0"/>
            </a:rPr>
            <a:t> to ensure an effective duration match</a:t>
          </a:r>
          <a:r>
            <a:rPr lang="en-US" sz="1600">
              <a:latin typeface="Arial" panose="020B0604020202020204" pitchFamily="34" charset="0"/>
              <a:cs typeface="Arial" panose="020B0604020202020204" pitchFamily="34" charset="0"/>
            </a:rPr>
            <a:t>:</a:t>
          </a:r>
        </a:p>
        <a:p>
          <a:endParaRPr lang="en-US" sz="1600" b="0" i="0" u="none" strike="noStrike">
            <a:solidFill>
              <a:schemeClr val="dk1"/>
            </a:solidFill>
            <a:effectLst/>
            <a:latin typeface="+mn-lt"/>
            <a:ea typeface="+mn-ea"/>
            <a:cs typeface="+mn-cs"/>
          </a:endParaRPr>
        </a:p>
        <a:p>
          <a:r>
            <a:rPr lang="en-US" sz="1400" b="0" i="0" u="none" strike="noStrike">
              <a:solidFill>
                <a:schemeClr val="dk1"/>
              </a:solidFill>
              <a:effectLst/>
              <a:latin typeface="+mn-lt"/>
              <a:ea typeface="+mn-ea"/>
              <a:cs typeface="+mn-cs"/>
            </a:rPr>
            <a:t>1. Initial portfolio market value (P</a:t>
          </a:r>
          <a:r>
            <a:rPr lang="en-US" sz="1400" b="0" i="0" u="none" strike="noStrike" baseline="0">
              <a:solidFill>
                <a:schemeClr val="dk1"/>
              </a:solidFill>
              <a:effectLst/>
              <a:latin typeface="+mn-lt"/>
              <a:ea typeface="+mn-ea"/>
              <a:cs typeface="+mn-cs"/>
            </a:rPr>
            <a:t>resent Value of Assets)</a:t>
          </a:r>
          <a:r>
            <a:rPr lang="en-US" sz="1400" b="0" i="0" u="none" strike="noStrike">
              <a:solidFill>
                <a:schemeClr val="dk1"/>
              </a:solidFill>
              <a:effectLst/>
              <a:latin typeface="+mn-lt"/>
              <a:ea typeface="+mn-ea"/>
              <a:cs typeface="+mn-cs"/>
            </a:rPr>
            <a:t> equals or exceeds the Present</a:t>
          </a:r>
          <a:r>
            <a:rPr lang="en-US" sz="1400" b="0" i="0" u="none" strike="noStrike" baseline="0">
              <a:solidFill>
                <a:schemeClr val="dk1"/>
              </a:solidFill>
              <a:effectLst/>
              <a:latin typeface="+mn-lt"/>
              <a:ea typeface="+mn-ea"/>
              <a:cs typeface="+mn-cs"/>
            </a:rPr>
            <a:t> Value of Liabilities</a:t>
          </a:r>
          <a:r>
            <a:rPr lang="en-US" sz="1400" b="0" i="0" u="none" strike="noStrike">
              <a:solidFill>
                <a:schemeClr val="dk1"/>
              </a:solidFill>
              <a:effectLst/>
              <a:latin typeface="+mn-lt"/>
              <a:ea typeface="+mn-ea"/>
              <a:cs typeface="+mn-cs"/>
            </a:rPr>
            <a:t> </a:t>
          </a:r>
          <a:r>
            <a:rPr lang="en-US" sz="1400"/>
            <a:t> </a:t>
          </a:r>
          <a:r>
            <a:rPr lang="en-US" sz="1400" b="0" i="0" u="none" strike="noStrike">
              <a:solidFill>
                <a:schemeClr val="dk1"/>
              </a:solidFill>
              <a:effectLst/>
              <a:latin typeface="+mn-lt"/>
              <a:ea typeface="+mn-ea"/>
              <a:cs typeface="+mn-cs"/>
            </a:rPr>
            <a:t> </a:t>
          </a:r>
        </a:p>
        <a:p>
          <a:endParaRPr lang="en-US" sz="1400" b="0" i="0" u="none" strike="noStrike">
            <a:solidFill>
              <a:schemeClr val="dk1"/>
            </a:solidFill>
            <a:effectLst/>
            <a:latin typeface="+mn-lt"/>
            <a:ea typeface="+mn-ea"/>
            <a:cs typeface="+mn-cs"/>
          </a:endParaRPr>
        </a:p>
        <a:p>
          <a:r>
            <a:rPr lang="en-US" sz="1400" b="0" i="0" u="none" strike="noStrike">
              <a:solidFill>
                <a:schemeClr val="dk1"/>
              </a:solidFill>
              <a:effectLst/>
              <a:latin typeface="+mn-lt"/>
              <a:ea typeface="+mn-ea"/>
              <a:cs typeface="+mn-cs"/>
            </a:rPr>
            <a:t>2. Portfolio and liability basis boint values must match </a:t>
          </a:r>
          <a:r>
            <a:rPr lang="en-US" sz="1400"/>
            <a:t> </a:t>
          </a:r>
          <a:endParaRPr lang="en-US" sz="1400" b="0" i="0" u="none" strike="noStrike">
            <a:solidFill>
              <a:schemeClr val="dk1"/>
            </a:solidFill>
            <a:effectLst/>
            <a:latin typeface="+mn-lt"/>
            <a:ea typeface="+mn-ea"/>
            <a:cs typeface="+mn-cs"/>
          </a:endParaRPr>
        </a:p>
        <a:p>
          <a:endParaRPr lang="en-US" sz="1400" b="0" i="0" u="none" strike="noStrike">
            <a:solidFill>
              <a:schemeClr val="dk1"/>
            </a:solidFill>
            <a:effectLst/>
            <a:latin typeface="+mn-lt"/>
            <a:ea typeface="+mn-ea"/>
            <a:cs typeface="+mn-cs"/>
          </a:endParaRPr>
        </a:p>
        <a:p>
          <a:r>
            <a:rPr lang="en-US" sz="1400" b="0" i="0" u="none" strike="noStrike">
              <a:solidFill>
                <a:schemeClr val="dk1"/>
              </a:solidFill>
              <a:effectLst/>
              <a:latin typeface="+mn-lt"/>
              <a:ea typeface="+mn-ea"/>
              <a:cs typeface="+mn-cs"/>
            </a:rPr>
            <a:t>3. Asset convexity of cashflows exceeds those of the liabilities (but not by too much, in order to minimize structural risk) </a:t>
          </a:r>
          <a:r>
            <a:rPr lang="en-US" sz="1400"/>
            <a:t> </a:t>
          </a:r>
          <a:r>
            <a:rPr lang="en-US" sz="1400" b="0" i="0" u="none" strike="noStrike">
              <a:solidFill>
                <a:schemeClr val="dk1"/>
              </a:solidFill>
              <a:effectLst/>
              <a:latin typeface="+mn-lt"/>
              <a:ea typeface="+mn-ea"/>
              <a:cs typeface="+mn-cs"/>
            </a:rPr>
            <a:t> </a:t>
          </a:r>
        </a:p>
        <a:p>
          <a:endParaRPr lang="en-US" sz="1400" b="0" i="0" u="none" strike="noStrike">
            <a:solidFill>
              <a:schemeClr val="dk1"/>
            </a:solidFill>
            <a:effectLst/>
            <a:latin typeface="+mn-lt"/>
            <a:ea typeface="+mn-ea"/>
            <a:cs typeface="+mn-cs"/>
          </a:endParaRPr>
        </a:p>
        <a:p>
          <a:r>
            <a:rPr lang="en-US" sz="1400" b="0" i="0" u="none" strike="noStrike">
              <a:solidFill>
                <a:schemeClr val="dk1"/>
              </a:solidFill>
              <a:effectLst/>
              <a:latin typeface="+mn-lt"/>
              <a:ea typeface="+mn-ea"/>
              <a:cs typeface="+mn-cs"/>
            </a:rPr>
            <a:t>4. Regularly rebalance the portfolio to maintain the BPV match of A and L as time and yields change </a:t>
          </a:r>
          <a:r>
            <a:rPr lang="en-US" sz="1400"/>
            <a:t> </a:t>
          </a:r>
          <a:endParaRPr lang="en-US" sz="1400" b="0" i="0" u="none" strike="noStrike">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2</xdr:col>
          <xdr:colOff>66675</xdr:colOff>
          <xdr:row>25</xdr:row>
          <xdr:rowOff>57150</xdr:rowOff>
        </xdr:from>
        <xdr:to>
          <xdr:col>2</xdr:col>
          <xdr:colOff>1162050</xdr:colOff>
          <xdr:row>26</xdr:row>
          <xdr:rowOff>123825</xdr:rowOff>
        </xdr:to>
        <xdr:sp macro="" textlink="">
          <xdr:nvSpPr>
            <xdr:cNvPr id="341040" name="Button 48" hidden="1">
              <a:extLst>
                <a:ext uri="{63B3BB69-23CF-44E3-9099-C40C66FF867C}">
                  <a14:compatExt spid="_x0000_s341040"/>
                </a:ext>
                <a:ext uri="{FF2B5EF4-FFF2-40B4-BE49-F238E27FC236}">
                  <a16:creationId xmlns:a16="http://schemas.microsoft.com/office/drawing/2014/main" id="{00000000-0008-0000-0E00-00003034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Set Overlay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1466850</xdr:colOff>
          <xdr:row>25</xdr:row>
          <xdr:rowOff>66675</xdr:rowOff>
        </xdr:from>
        <xdr:to>
          <xdr:col>3</xdr:col>
          <xdr:colOff>1028700</xdr:colOff>
          <xdr:row>26</xdr:row>
          <xdr:rowOff>114300</xdr:rowOff>
        </xdr:to>
        <xdr:sp macro="" textlink="">
          <xdr:nvSpPr>
            <xdr:cNvPr id="341057" name="Button 65" hidden="1">
              <a:extLst>
                <a:ext uri="{63B3BB69-23CF-44E3-9099-C40C66FF867C}">
                  <a14:compatExt spid="_x0000_s341057"/>
                </a:ext>
                <a:ext uri="{FF2B5EF4-FFF2-40B4-BE49-F238E27FC236}">
                  <a16:creationId xmlns:a16="http://schemas.microsoft.com/office/drawing/2014/main" id="{00000000-0008-0000-0E00-00004134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Set Overlay 2</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xdr:colOff>
          <xdr:row>17</xdr:row>
          <xdr:rowOff>171450</xdr:rowOff>
        </xdr:from>
        <xdr:to>
          <xdr:col>4</xdr:col>
          <xdr:colOff>828675</xdr:colOff>
          <xdr:row>25</xdr:row>
          <xdr:rowOff>171450</xdr:rowOff>
        </xdr:to>
        <xdr:sp macro="" textlink="">
          <xdr:nvSpPr>
            <xdr:cNvPr id="338990" name="Button 46" hidden="1">
              <a:extLst>
                <a:ext uri="{63B3BB69-23CF-44E3-9099-C40C66FF867C}">
                  <a14:compatExt spid="_x0000_s338990"/>
                </a:ext>
                <a:ext uri="{FF2B5EF4-FFF2-40B4-BE49-F238E27FC236}">
                  <a16:creationId xmlns:a16="http://schemas.microsoft.com/office/drawing/2014/main" id="{00000000-0008-0000-1000-00002E2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Estimate Effective Duration</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16</xdr:row>
          <xdr:rowOff>19050</xdr:rowOff>
        </xdr:from>
        <xdr:to>
          <xdr:col>2</xdr:col>
          <xdr:colOff>257175</xdr:colOff>
          <xdr:row>18</xdr:row>
          <xdr:rowOff>66675</xdr:rowOff>
        </xdr:to>
        <xdr:sp macro="" textlink="">
          <xdr:nvSpPr>
            <xdr:cNvPr id="317443" name="Button 3" hidden="1">
              <a:extLst>
                <a:ext uri="{63B3BB69-23CF-44E3-9099-C40C66FF867C}">
                  <a14:compatExt spid="_x0000_s317443"/>
                </a:ext>
                <a:ext uri="{FF2B5EF4-FFF2-40B4-BE49-F238E27FC236}">
                  <a16:creationId xmlns:a16="http://schemas.microsoft.com/office/drawing/2014/main" id="{00000000-0008-0000-1100-000003D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Estimate Effective Duration</a:t>
              </a:r>
            </a:p>
          </xdr:txBody>
        </xdr:sp>
        <xdr:clientData fPrintsWithSheet="0"/>
      </xdr:twoCellAnchor>
    </mc:Choice>
    <mc:Fallback/>
  </mc:AlternateContent>
  <xdr:twoCellAnchor>
    <xdr:from>
      <xdr:col>4</xdr:col>
      <xdr:colOff>6350</xdr:colOff>
      <xdr:row>8</xdr:row>
      <xdr:rowOff>154516</xdr:rowOff>
    </xdr:from>
    <xdr:to>
      <xdr:col>24</xdr:col>
      <xdr:colOff>529167</xdr:colOff>
      <xdr:row>22</xdr:row>
      <xdr:rowOff>155574</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9</xdr:col>
      <xdr:colOff>457200</xdr:colOff>
      <xdr:row>5</xdr:row>
      <xdr:rowOff>76200</xdr:rowOff>
    </xdr:from>
    <xdr:to>
      <xdr:col>15</xdr:col>
      <xdr:colOff>495300</xdr:colOff>
      <xdr:row>13</xdr:row>
      <xdr:rowOff>104775</xdr:rowOff>
    </xdr:to>
    <xdr:sp macro="" textlink="">
      <xdr:nvSpPr>
        <xdr:cNvPr id="2" name="TextBox 1">
          <a:extLst>
            <a:ext uri="{FF2B5EF4-FFF2-40B4-BE49-F238E27FC236}">
              <a16:creationId xmlns:a16="http://schemas.microsoft.com/office/drawing/2014/main" id="{00000000-0008-0000-1400-000002000000}"/>
            </a:ext>
          </a:extLst>
        </xdr:cNvPr>
        <xdr:cNvSpPr txBox="1"/>
      </xdr:nvSpPr>
      <xdr:spPr>
        <a:xfrm>
          <a:off x="7848600" y="1028700"/>
          <a:ext cx="3695700" cy="1552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Frequency</a:t>
          </a:r>
          <a:r>
            <a:rPr lang="en-US" sz="1100" baseline="0"/>
            <a:t> chart is a part of a larger analysis I did on US Data Center statistics. Contact me for more info on this data.</a:t>
          </a:r>
          <a:r>
            <a:rPr lang="en-US" sz="1100" b="0" i="0" u="none" strike="noStrike" baseline="0">
              <a:solidFill>
                <a:schemeClr val="dk1"/>
              </a:solidFill>
              <a:effectLst/>
              <a:latin typeface="+mn-lt"/>
              <a:ea typeface="+mn-ea"/>
              <a:cs typeface="+mn-cs"/>
            </a:rPr>
            <a:t> - Jason Keyser</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8</xdr:col>
      <xdr:colOff>409575</xdr:colOff>
      <xdr:row>0</xdr:row>
      <xdr:rowOff>180975</xdr:rowOff>
    </xdr:from>
    <xdr:to>
      <xdr:col>20</xdr:col>
      <xdr:colOff>266700</xdr:colOff>
      <xdr:row>11</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1600-000002000000}"/>
            </a:ext>
          </a:extLst>
        </xdr:cNvPr>
        <xdr:cNvSpPr txBox="1"/>
      </xdr:nvSpPr>
      <xdr:spPr>
        <a:xfrm>
          <a:off x="7915275" y="180975"/>
          <a:ext cx="7172325" cy="2152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"Power system specialists recommend testing the generator systems once a year at full load with a load bank.</a:t>
          </a:r>
          <a:br>
            <a:rPr lang="en-US"/>
          </a:br>
          <a:r>
            <a:rPr lang="en-US" sz="1100" b="0" i="0">
              <a:solidFill>
                <a:schemeClr val="dk1"/>
              </a:solidFill>
              <a:effectLst/>
              <a:latin typeface="+mn-lt"/>
              <a:ea typeface="+mn-ea"/>
              <a:cs typeface="+mn-cs"/>
            </a:rPr>
            <a:t>The National Fire Protection Associations NFPA Code 110 Standard for Emergency and Standby Power Systems, 2005 Edition, specifies load bank testing for EPSS as a requirement by law where life safety electrical needs are involved. Section 8.4.2.3 of this code states the generator must be run at a supplemental load of 25% of nameplate rating for 30 minutes, followed by 50% of nameplate rating for 30 minutes, followed by 75% of nameplate rating for 60 minutes, for a total of two continuous hours."</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Source:</a:t>
          </a:r>
          <a:r>
            <a:rPr lang="en-US" sz="1100" b="0" i="0" baseline="0">
              <a:solidFill>
                <a:schemeClr val="dk1"/>
              </a:solidFill>
              <a:effectLst/>
              <a:latin typeface="+mn-lt"/>
              <a:ea typeface="+mn-ea"/>
              <a:cs typeface="+mn-cs"/>
            </a:rPr>
            <a:t> https://www.primepower.com/blog/maintenance-load-bank-testing-of-standby-gensets-preventive-maintenance-practice-for-epss#:~:text=Load%20bank%20testing%20of%20standby%20gensets%20is%20a%20preventive%20maintenance,operation%20during%20utility%20power%20failure.</a:t>
          </a:r>
        </a:p>
        <a:p>
          <a:endParaRPr lang="en-US" sz="1100" u="sng">
            <a:solidFill>
              <a:schemeClr val="accent1"/>
            </a:solidFill>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Jason Keyser" id="{E50A4FDC-F6BA-49F5-9394-FC866143BB87}" userId="S::jason.keyser@CPGBeyond.com::2866220f-d264-40d3-a7b0-007832744df9"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7CF57C-F05E-41EC-8447-87B30151E399}" name="Table1" displayName="Table1" ref="A2:I12" totalsRowShown="0" headerRowDxfId="35" headerRowBorderDxfId="34" tableBorderDxfId="33">
  <autoFilter ref="A2:I12" xr:uid="{D17CF57C-F05E-41EC-8447-87B30151E399}"/>
  <tableColumns count="9">
    <tableColumn id="1" xr3:uid="{626940A7-3355-4D2C-8EC4-2190A17F54BD}" name="3000 KW Accessories" dataDxfId="32"/>
    <tableColumn id="2" xr3:uid="{FC84F260-7083-42E3-8B03-A4EEB6D68BC9}" name="Sq Ft"/>
    <tableColumn id="8" xr3:uid="{76712C8D-0630-4CD3-9237-74459F82A095}" name="Warranty"/>
    <tableColumn id="9" xr3:uid="{288C4944-6D87-4E28-BE7F-E22EBCA3D0BE}" name="Shipment Time (Wks)"/>
    <tableColumn id="3" xr3:uid="{30C24F90-2011-4C8E-99A7-8CBA88E6C54D}" name="Unit Price" dataDxfId="31" dataCellStyle="Currency"/>
    <tableColumn id="4" xr3:uid="{86C71C0F-C8D8-4A22-823C-F75BFE9A6617}" name="Needed?" dataDxfId="30" dataCellStyle="Comma"/>
    <tableColumn id="5" xr3:uid="{05333F96-E551-4FCD-B2A8-4E8E671A8194}" name="Qty" dataDxfId="29" dataCellStyle="Comma"/>
    <tableColumn id="6" xr3:uid="{B26CC98E-12A8-47F8-8679-C24CD7EF476D}" name="Notes" dataDxfId="28" dataCellStyle="Comma"/>
    <tableColumn id="7" xr3:uid="{C9226458-DCC9-4956-813B-89850B0DE559}" name="Specs" dataDxfId="27" dataCellStyle="Comm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7CA90-3EEA-45FC-B0BA-D07E0C0F62B9}" name="Table13" displayName="Table13" ref="A16:I25" totalsRowShown="0" headerRowDxfId="26" headerRowBorderDxfId="25" tableBorderDxfId="24">
  <autoFilter ref="A16:I25" xr:uid="{6977CA90-3EEA-45FC-B0BA-D07E0C0F62B9}"/>
  <tableColumns count="9">
    <tableColumn id="1" xr3:uid="{7BA0614A-876D-493C-8E02-7FBA031AED3B}" name="400 KW Accessories" dataDxfId="23"/>
    <tableColumn id="2" xr3:uid="{0EE9A310-8C26-438D-B1F2-948D69B1C3F6}" name="Sq Ft"/>
    <tableColumn id="8" xr3:uid="{FC0F2D8E-F211-4109-B821-894ADB58D01A}" name="Warranty"/>
    <tableColumn id="9" xr3:uid="{1280EA58-ED2D-4A98-AC8F-1DB8473EC5FE}" name="Shipment Time (Wks)"/>
    <tableColumn id="3" xr3:uid="{3868DB6E-0F2A-4AEE-9085-3B0CE05C630E}" name="Unit Price" dataDxfId="22" dataCellStyle="Currency">
      <calculatedColumnFormula>68/38862</calculatedColumnFormula>
    </tableColumn>
    <tableColumn id="4" xr3:uid="{E5ACC842-772B-4799-826A-B1D5908E7A58}" name="Needed?" dataDxfId="21" dataCellStyle="Comma"/>
    <tableColumn id="5" xr3:uid="{9D29DDA1-9271-4983-88D7-1292DAB105F1}" name="Qty" dataDxfId="20" dataCellStyle="Comma"/>
    <tableColumn id="6" xr3:uid="{1C643B0E-B060-4568-844B-966CEB68F87F}" name="Notes" dataDxfId="19" dataCellStyle="Comma"/>
    <tableColumn id="7" xr3:uid="{9E62D18A-E573-482C-8DFD-731E9DBDB5D9}" name="Specs" dataDxfId="18" dataCellStyle="Comm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EE4D298-59F2-4800-950E-DC5BC36E633D}" name="Table134" displayName="Table134" ref="A65:I74" totalsRowShown="0" headerRowDxfId="17" headerRowBorderDxfId="16" tableBorderDxfId="15">
  <autoFilter ref="A65:I74" xr:uid="{9EE4D298-59F2-4800-950E-DC5BC36E633D}"/>
  <tableColumns count="9">
    <tableColumn id="1" xr3:uid="{38A24087-4B8F-4672-9D6C-61F99B684204}" name="400 KW Accessories" dataDxfId="14"/>
    <tableColumn id="2" xr3:uid="{6DE60939-71C3-4213-98F4-A637529C0AD1}" name="Sq Ft"/>
    <tableColumn id="8" xr3:uid="{08E9C854-06FF-4C00-AB58-90C3CBC05C30}" name="Warranty"/>
    <tableColumn id="9" xr3:uid="{A74BF8B1-ECBA-49A0-9DDF-B9387212D88F}" name="Shipment Time (Wks)"/>
    <tableColumn id="3" xr3:uid="{B5C5138E-EC3D-4190-9F06-EA10BF6D8200}" name="Unit Price" dataDxfId="13" dataCellStyle="Currency">
      <calculatedColumnFormula>68/38862</calculatedColumnFormula>
    </tableColumn>
    <tableColumn id="4" xr3:uid="{4D9F3F8D-E4B7-49BA-AF75-3B66A2BA823D}" name="Needed?" dataDxfId="12" dataCellStyle="Comma"/>
    <tableColumn id="5" xr3:uid="{2E2E0A1A-FE8B-4378-AE58-22B114FBF89B}" name="Qty" dataDxfId="11" dataCellStyle="Comma"/>
    <tableColumn id="6" xr3:uid="{06B2F0DB-2C99-43DE-AC67-BE88E2C7C0B7}" name="Notes" dataDxfId="10" dataCellStyle="Comma"/>
    <tableColumn id="7" xr3:uid="{55301315-147F-4687-BBD8-572E0462E1C5}" name="Specs" dataDxfId="9" dataCellStyle="Comma"/>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5FB11BD-B6D7-4B61-A5AF-85142E6D0729}" name="Table1345" displayName="Table1345" ref="A50:I61" totalsRowShown="0" headerRowDxfId="8" headerRowBorderDxfId="7" tableBorderDxfId="6">
  <autoFilter ref="A50:I61" xr:uid="{D5FB11BD-B6D7-4B61-A5AF-85142E6D0729}"/>
  <tableColumns count="9">
    <tableColumn id="1" xr3:uid="{505350A8-F5AD-4A5D-B6A4-888D9C02F717}" name="3000 KW Accessories" dataDxfId="5"/>
    <tableColumn id="2" xr3:uid="{FC7133A0-2AA6-4450-93FB-9B78046D5A29}" name="Sq Ft"/>
    <tableColumn id="8" xr3:uid="{8A14AAB9-EDDF-4B2C-8C24-25E3D337BC15}" name="Warranty"/>
    <tableColumn id="9" xr3:uid="{AE9F316B-DCF7-422B-B57B-B4BB55F0B6DC}" name="Shipment Time (Wks)"/>
    <tableColumn id="3" xr3:uid="{1F32304E-6D6D-4438-BAF8-3FB95B260614}" name="Unit Price" dataDxfId="4" dataCellStyle="Currency">
      <calculatedColumnFormula>68/38862</calculatedColumnFormula>
    </tableColumn>
    <tableColumn id="4" xr3:uid="{B2A86536-9978-4064-855A-A941CC45F672}" name="Needed?" dataDxfId="3" dataCellStyle="Comma"/>
    <tableColumn id="5" xr3:uid="{5B77CA91-E1CE-4F8D-9DB4-8884FB063906}" name="Qty" dataDxfId="2" dataCellStyle="Comma"/>
    <tableColumn id="6" xr3:uid="{CC7F6527-F534-4D4E-BAC2-68DCF5EC9B2D}" name="Notes" dataDxfId="1" dataCellStyle="Comma"/>
    <tableColumn id="7" xr3:uid="{269D6F5B-4F4F-4EF5-9ED2-DE6A5FF05A83}" name="Specs" dataDxfId="0" dataCellStyle="Comma"/>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32" dT="2022-04-06T20:49:32.52" personId="{E50A4FDC-F6BA-49F5-9394-FC866143BB87}" id="{6BFAAA63-B66F-452F-B146-F9CB496AA9ED}">
    <text>https://www.justia.com/tax/corporate-tax/business-tax-deductions/section-179-and-bonus-depreciation/#:~:text=The%20100%20percent%20rule%20will,is%20set%20at%2080%20percent.
The government allows 100% depreciation until the end of 2022</text>
  </threadedComment>
</ThreadedComments>
</file>

<file path=xl/threadedComments/threadedComment2.xml><?xml version="1.0" encoding="utf-8"?>
<ThreadedComments xmlns="http://schemas.microsoft.com/office/spreadsheetml/2018/threadedcomments" xmlns:x="http://schemas.openxmlformats.org/spreadsheetml/2006/main">
  <threadedComment ref="E18" dT="2022-03-29T19:21:09.23" personId="{E50A4FDC-F6BA-49F5-9394-FC866143BB87}" id="{40C51F8E-229A-4F32-9F99-5913C5FE727B}">
    <text>Qty represents inflection points in the shipping prices based on quotes from polaris, not the actual number of LBs being shipped but the range it falls into</text>
  </threadedComment>
  <threadedComment ref="E25" dT="2022-03-29T19:21:09.23" personId="{E50A4FDC-F6BA-49F5-9394-FC866143BB87}" id="{4541B171-949F-4FBD-8734-8177F38A6D48}">
    <text>Qty represents inflection points in the shipping prices based on quotes from polaris, not the actual number of LBs being shipped but the range it falls into</text>
  </threadedComment>
</ThreadedComments>
</file>

<file path=xl/threadedComments/threadedComment3.xml><?xml version="1.0" encoding="utf-8"?>
<ThreadedComments xmlns="http://schemas.microsoft.com/office/spreadsheetml/2018/threadedcomments" xmlns:x="http://schemas.openxmlformats.org/spreadsheetml/2006/main">
  <threadedComment ref="A10" dT="2024-02-19T01:20:54.48" personId="{E50A4FDC-F6BA-49F5-9394-FC866143BB87}" id="{5478B73D-763E-4C95-B838-D8A686C2D610}">
    <text>Experiment with the yellow cells in the yield curve table to see different possible shifts and their effects on portfolio value</text>
  </threadedComment>
  <threadedComment ref="B29" dT="2024-02-19T19:29:47.75" personId="{E50A4FDC-F6BA-49F5-9394-FC866143BB87}" id="{CF05A053-F3F4-4F65-9B44-B27E2A8D015C}">
    <text>Using the actual Portfolio IRR instead of using a weighted average of the bonds YTMs because it is a technically more correct measure. Using simple weighted averages will overestimate portfolio summary stats in an upward sloping yield curve</text>
  </threadedComment>
  <threadedComment ref="C29" dT="2024-02-19T20:30:54.22" personId="{E50A4FDC-F6BA-49F5-9394-FC866143BB87}" id="{4188BEC7-1840-4B2D-B44C-9A72C14F0EBF}">
    <text>Because this is a single liability with no coupons, the IRR is simply equal to the Yield to Maturity</text>
  </threadedComment>
</ThreadedComments>
</file>

<file path=xl/threadedComments/threadedComment4.xml><?xml version="1.0" encoding="utf-8"?>
<ThreadedComments xmlns="http://schemas.microsoft.com/office/spreadsheetml/2018/threadedcomments" xmlns:x="http://schemas.openxmlformats.org/spreadsheetml/2006/main">
  <threadedComment ref="B14" dT="2024-02-24T16:02:45.11" personId="{E50A4FDC-F6BA-49F5-9394-FC866143BB87}" id="{994A21E8-2EF4-4BBA-8DE1-6E315688F26B}">
    <text>The receiver swaption strike price will always be at or below the swap fixed rate. If it was priced above the swap fixed rate it would be exercisable immediately and therefore make no sense to the swaption writer.</text>
  </threadedComment>
  <threadedComment ref="B15" dT="2024-02-24T16:03:15.05" personId="{E50A4FDC-F6BA-49F5-9394-FC866143BB87}" id="{0B65953A-0593-4A4A-84ED-B639937FC9EB}">
    <text>The payer swaption strike price will always be at or above the swap fixed rate. If it was priced below the swap fixed rate it would be exercisable immediately and therefore make no sense to the swaption writer.</text>
  </threadedComment>
  <threadedComment ref="B20" dT="2024-02-24T17:03:50.08" personId="{E50A4FDC-F6BA-49F5-9394-FC866143BB87}" id="{35EC26AB-4E16-496B-88D7-38051BD107B5}">
    <text>The correct notional principal size of the fixed rate swap will be determined by the basis point value of the swap and the size of the duration gap</text>
  </threadedComment>
</ThreadedComments>
</file>

<file path=xl/threadedComments/threadedComment5.xml><?xml version="1.0" encoding="utf-8"?>
<ThreadedComments xmlns="http://schemas.microsoft.com/office/spreadsheetml/2018/threadedcomments" xmlns:x="http://schemas.openxmlformats.org/spreadsheetml/2006/main">
  <threadedComment ref="B14" dT="2024-02-24T16:02:45.11" personId="{E50A4FDC-F6BA-49F5-9394-FC866143BB87}" id="{C63EA897-8915-49F6-AA81-18613DEAEBCA}">
    <text>The receiver swaption strike price will always be at or below the swap fixed rate. If it was priced above the swap fixed rate it would be exercisable immediately and therefore make no sense to the swaption writer.</text>
  </threadedComment>
  <threadedComment ref="B15" dT="2024-02-24T16:03:15.05" personId="{E50A4FDC-F6BA-49F5-9394-FC866143BB87}" id="{8E137366-419E-4574-907B-FDE7F33E8BD5}">
    <text>The payer swaption strike price will always be at or above the swap fixed rate. If it was priced below the swap fixed rate it would be exercisable immediately and therefore make no sense to the swaption writer.</text>
  </threadedComment>
</ThreadedComments>
</file>

<file path=xl/threadedComments/threadedComment6.xml><?xml version="1.0" encoding="utf-8"?>
<ThreadedComments xmlns="http://schemas.microsoft.com/office/spreadsheetml/2018/threadedcomments" xmlns:x="http://schemas.openxmlformats.org/spreadsheetml/2006/main">
  <threadedComment ref="C9" dT="2024-03-09T21:20:42.91" personId="{E50A4FDC-F6BA-49F5-9394-FC866143BB87}" id="{BB7E1587-7012-4A7B-AF31-70F8DB6CC4EB}">
    <text>The change in value for a 1 basis point change in interest rates</text>
  </threadedComment>
  <threadedComment ref="C9" dT="2024-03-10T19:30:46.45" personId="{E50A4FDC-F6BA-49F5-9394-FC866143BB87}" id="{44F93DA6-7BE5-4CA6-A28D-E45B57E7DDD7}" parentId="{BB7E1587-7012-4A7B-AF31-70F8DB6CC4EB}">
    <text>Should be the same if the balance sheet is duration matched</text>
  </threadedComment>
  <threadedComment ref="F15" dT="2024-03-20T23:03:28.35" personId="{E50A4FDC-F6BA-49F5-9394-FC866143BB87}" id="{47812344-C48B-4FF4-B222-AA2CEA501445}">
    <text>After any change in interest rates, a new effective duration must be estimated for the portfolio</text>
  </threadedComment>
  <threadedComment ref="C28" dT="2024-03-20T23:01:41.08" personId="{E50A4FDC-F6BA-49F5-9394-FC866143BB87}" id="{4A26B4C6-81AF-42BF-B11E-B92664E66187}">
    <text>Setting an overlay will correctly size the notional value to hedge the duration gap</text>
  </threadedComment>
</ThreadedComments>
</file>

<file path=xl/threadedComments/threadedComment7.xml><?xml version="1.0" encoding="utf-8"?>
<ThreadedComments xmlns="http://schemas.microsoft.com/office/spreadsheetml/2018/threadedcomments" xmlns:x="http://schemas.openxmlformats.org/spreadsheetml/2006/main">
  <threadedComment ref="G5" dT="2024-03-21T22:43:42.17" personId="{E50A4FDC-F6BA-49F5-9394-FC866143BB87}" id="{F620C4B6-35EA-4DD2-8486-954DA4AB9EB6}">
    <text>Premium is not priced using any realistic methodology, just dividing the payout by a constant</text>
  </threadedComment>
</ThreadedComments>
</file>

<file path=xl/threadedComments/threadedComment8.xml><?xml version="1.0" encoding="utf-8"?>
<ThreadedComments xmlns="http://schemas.microsoft.com/office/spreadsheetml/2018/threadedcomments" xmlns:x="http://schemas.openxmlformats.org/spreadsheetml/2006/main">
  <threadedComment ref="D7" dT="2024-03-09T17:49:50.38" personId="{E50A4FDC-F6BA-49F5-9394-FC866143BB87}" id="{5DB02787-356F-42AE-A611-0C93B98D22FF}">
    <text>Typically, there is no reliable, consistent relationship between equity in the portfolio and interest rates. While their value may be affected by changing interest rates, it is not in the same predictable way as fixed income assets. Therefore, duration is assumed to be zero</text>
  </threadedComment>
  <threadedComment ref="D10" dT="2024-03-09T20:52:31.30" personId="{E50A4FDC-F6BA-49F5-9394-FC866143BB87}" id="{27FB632E-C0A9-491F-961C-0D765CD65309}">
    <text>Effective duration of the portfolio is equal to the weighted average effective duration of its components</text>
  </threadedComment>
</ThreadedComments>
</file>

<file path=xl/threadedComments/threadedComment9.xml><?xml version="1.0" encoding="utf-8"?>
<ThreadedComments xmlns="http://schemas.microsoft.com/office/spreadsheetml/2018/threadedcomments" xmlns:x="http://schemas.openxmlformats.org/spreadsheetml/2006/main">
  <threadedComment ref="C12" dT="2024-03-08T01:32:19.72" personId="{E50A4FDC-F6BA-49F5-9394-FC866143BB87}" id="{62215DA8-4B9C-4957-858F-1C8FC3B47DD8}">
    <text>NPV of the liability after the yield curve falls</text>
  </threadedComment>
  <threadedComment ref="C13" dT="2024-03-08T01:32:35.94" personId="{E50A4FDC-F6BA-49F5-9394-FC866143BB87}" id="{D7566110-A99F-4C60-B0A0-FAE20DE1F3FA}">
    <text>NPV of Liability after the yield curve rises</text>
  </threadedComment>
</ThreadedComments>
</file>

<file path=xl/threadedComments/threadedComment10.xml><?xml version="1.0" encoding="utf-8"?>
<ThreadedComments xmlns="http://schemas.microsoft.com/office/spreadsheetml/2018/threadedcomments" xmlns:x="http://schemas.openxmlformats.org/spreadsheetml/2006/main">
  <threadedComment ref="B14" dT="2024-02-24T16:02:45.11" personId="{E50A4FDC-F6BA-49F5-9394-FC866143BB87}" id="{AE7B26C7-F8D3-461A-AF0A-6DE3D5BF7678}">
    <text>The receiver swaption strike price will always be at or below the swap fixed rate. If it was priced above the swap fixed rate it would be exercisable immediately and therefore make no sense to the swaption writer.</text>
  </threadedComment>
  <threadedComment ref="B15" dT="2024-02-24T16:03:15.05" personId="{E50A4FDC-F6BA-49F5-9394-FC866143BB87}" id="{D794E2B8-5C33-43C4-8ECB-C577949FF008}">
    <text>The payer swaption strike price will always be at or above the swap fixed rate. If it was priced below the swap fixed rate it would be exercisable immediately and therefore make no sense to the swaption writer.</text>
  </threadedComment>
  <threadedComment ref="A33" dT="2024-03-17T23:14:37.40" personId="{E50A4FDC-F6BA-49F5-9394-FC866143BB87}" id="{163EC5DD-E2F7-43AF-BC0F-0B0839CA0BF8}">
    <text>Only applicable in Zero Cost Collar Strategy</text>
  </threadedComment>
  <threadedComment ref="A39" dT="2024-03-17T23:14:37.40" personId="{E50A4FDC-F6BA-49F5-9394-FC866143BB87}" id="{F83652A6-008D-47FB-A836-C4A06A1E54C1}">
    <text>Only applicable in Zero Cost Collar Strategy</text>
  </threadedComment>
</ThreadedComments>
</file>

<file path=xl/threadedComments/threadedComment11.xml><?xml version="1.0" encoding="utf-8"?>
<ThreadedComments xmlns="http://schemas.microsoft.com/office/spreadsheetml/2018/threadedcomments" xmlns:x="http://schemas.openxmlformats.org/spreadsheetml/2006/main">
  <threadedComment ref="E7" dT="2022-07-14T20:40:53.22" personId="{E50A4FDC-F6BA-49F5-9394-FC866143BB87}" id="{7CA6102B-F566-4E63-BB63-96F0EDEA0A7B}">
    <text>24 extra for Mech Plant</text>
  </threadedComment>
  <threadedComment ref="E8" dT="2022-07-14T20:41:15.64" personId="{E50A4FDC-F6BA-49F5-9394-FC866143BB87}" id="{88B1AEC9-2C6C-4F35-AC3E-66842B1CABB9}">
    <text>20 hrs of full load testing per colo</text>
  </threadedComment>
  <threadedComment ref="E21" dT="2022-07-14T20:44:13.23" personId="{E50A4FDC-F6BA-49F5-9394-FC866143BB87}" id="{BFDC1031-F9EF-4D9E-ABB5-63626A7BC231}">
    <text>3 Hours for DECS</text>
  </threadedComment>
  <threadedComment ref="E22" dT="2022-07-14T20:44:33.45" personId="{E50A4FDC-F6BA-49F5-9394-FC866143BB87}" id="{16ED2727-E636-4098-B93A-6871888C4176}">
    <text>6 hours for DECs</text>
  </threadedComment>
</ThreadedComments>
</file>

<file path=xl/threadedComments/threadedComment12.xml><?xml version="1.0" encoding="utf-8"?>
<ThreadedComments xmlns="http://schemas.microsoft.com/office/spreadsheetml/2018/threadedcomments" xmlns:x="http://schemas.openxmlformats.org/spreadsheetml/2006/main">
  <threadedComment ref="H12" dT="2022-01-31T20:15:29.96" personId="{E50A4FDC-F6BA-49F5-9394-FC866143BB87}" id="{F8968FE6-273C-4F28-BC3C-60D1ADC42E2B}">
    <text>Price per month</text>
  </threadedComment>
  <threadedComment ref="J12" dT="2022-01-31T20:00:10.38" personId="{E50A4FDC-F6BA-49F5-9394-FC866143BB87}" id="{1098C7E7-9E50-429C-B0C8-884111AC3526}">
    <text>400 kw load banks, 3000 kw loadbanks are ignored</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8" Type="http://schemas.microsoft.com/office/2017/10/relationships/threadedComment" Target="../threadedComments/threadedComment6.xml"/><Relationship Id="rId3" Type="http://schemas.openxmlformats.org/officeDocument/2006/relationships/vmlDrawing" Target="../drawings/vmlDrawing6.vml"/><Relationship Id="rId7" Type="http://schemas.openxmlformats.org/officeDocument/2006/relationships/comments" Target="../comments6.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 Id="rId4" Type="http://schemas.microsoft.com/office/2017/10/relationships/threadedComment" Target="../threadedComments/threadedComment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microsoft.com/office/2017/10/relationships/threadedComment" Target="../threadedComments/threadedComment8.xml"/><Relationship Id="rId5" Type="http://schemas.openxmlformats.org/officeDocument/2006/relationships/comments" Target="../comments8.xml"/><Relationship Id="rId4" Type="http://schemas.openxmlformats.org/officeDocument/2006/relationships/ctrlProp" Target="../ctrlProps/ctrlProp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microsoft.com/office/2017/10/relationships/threadedComment" Target="../threadedComments/threadedComment9.xml"/><Relationship Id="rId5" Type="http://schemas.openxmlformats.org/officeDocument/2006/relationships/comments" Target="../comments9.xml"/><Relationship Id="rId4" Type="http://schemas.openxmlformats.org/officeDocument/2006/relationships/ctrlProp" Target="../ctrlProps/ctrlProp6.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10.xml"/></Relationships>
</file>

<file path=xl/worksheets/_rels/sheet20.xml.rels><?xml version="1.0" encoding="UTF-8" standalone="yes"?>
<Relationships xmlns="http://schemas.openxmlformats.org/package/2006/relationships"><Relationship Id="rId1" Type="http://schemas.openxmlformats.org/officeDocument/2006/relationships/hyperlink" Target="https://www.ssa.gov/oact/STATS/table4c6.html" TargetMode="Externa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www.datacente.rs/"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0.xml"/></Relationships>
</file>

<file path=xl/worksheets/_rels/sheet2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2.bin"/><Relationship Id="rId5" Type="http://schemas.openxmlformats.org/officeDocument/2006/relationships/table" Target="../tables/table4.xml"/><Relationship Id="rId4" Type="http://schemas.openxmlformats.org/officeDocument/2006/relationships/table" Target="../tables/table3.x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27.xml.rels><?xml version="1.0" encoding="UTF-8" standalone="yes"?>
<Relationships xmlns="http://schemas.openxmlformats.org/package/2006/relationships"><Relationship Id="rId8" Type="http://schemas.openxmlformats.org/officeDocument/2006/relationships/hyperlink" Target="https://www.cubesmart.com/texas-self-storage/san-antonio-self-storage/climate-controlled/4225.html" TargetMode="External"/><Relationship Id="rId13" Type="http://schemas.openxmlformats.org/officeDocument/2006/relationships/hyperlink" Target="https://www.publicstorage.com/self-storage-search?location=ashburn" TargetMode="External"/><Relationship Id="rId18" Type="http://schemas.openxmlformats.org/officeDocument/2006/relationships/comments" Target="../comments13.xml"/><Relationship Id="rId3" Type="http://schemas.openxmlformats.org/officeDocument/2006/relationships/hyperlink" Target="https://www.cubesmart.com/texas-self-storage/dallas-self-storage/climate-controlled/1379.html" TargetMode="External"/><Relationship Id="rId7" Type="http://schemas.openxmlformats.org/officeDocument/2006/relationships/hyperlink" Target="https://www.cubesmart.com/texas-self-storage/dallas-self-storage/climate-controlled/1379.html" TargetMode="External"/><Relationship Id="rId12" Type="http://schemas.openxmlformats.org/officeDocument/2006/relationships/hyperlink" Target="https://www.publicstorage.com/self-storage-search?location=ashburn" TargetMode="External"/><Relationship Id="rId17" Type="http://schemas.openxmlformats.org/officeDocument/2006/relationships/vmlDrawing" Target="../drawings/vmlDrawing13.vml"/><Relationship Id="rId2" Type="http://schemas.openxmlformats.org/officeDocument/2006/relationships/hyperlink" Target="https://www.cubesmart.com/texas-self-storage/san-antonio-self-storage/climate-controlled/4225.html" TargetMode="External"/><Relationship Id="rId16" Type="http://schemas.openxmlformats.org/officeDocument/2006/relationships/hyperlink" Target="https://www.cubesmart.com/virginia-self-storage/ashburn-self-storage/3854.html" TargetMode="External"/><Relationship Id="rId1" Type="http://schemas.openxmlformats.org/officeDocument/2006/relationships/hyperlink" Target="https://www.cubesmart.com/texas-self-storage/san-antonio-self-storage/climate-controlled/4225.html" TargetMode="External"/><Relationship Id="rId6" Type="http://schemas.openxmlformats.org/officeDocument/2006/relationships/hyperlink" Target="https://www.publicstorage.com/self-storage-tx-san-antonio/620?sp=620|9|San%20Antonio|29.42412|-98.49363|0|1|1" TargetMode="External"/><Relationship Id="rId11" Type="http://schemas.openxmlformats.org/officeDocument/2006/relationships/hyperlink" Target="https://www.publicstorage.com/self-storage-search?location=ashburn" TargetMode="External"/><Relationship Id="rId5" Type="http://schemas.openxmlformats.org/officeDocument/2006/relationships/hyperlink" Target="https://www.publicstorage.com/self-storage-tx-san-antonio/620?sp=620|9|San%20Antonio|29.42412|-98.49363|0|1|1" TargetMode="External"/><Relationship Id="rId15" Type="http://schemas.openxmlformats.org/officeDocument/2006/relationships/hyperlink" Target="https://www.cubesmart.com/virginia-self-storage/ashburn-self-storage/3854.html" TargetMode="External"/><Relationship Id="rId10" Type="http://schemas.openxmlformats.org/officeDocument/2006/relationships/hyperlink" Target="https://www.publicstorage.com/self-storage-search?location=ashburn" TargetMode="External"/><Relationship Id="rId19" Type="http://schemas.microsoft.com/office/2017/10/relationships/threadedComment" Target="../threadedComments/threadedComment12.xml"/><Relationship Id="rId4" Type="http://schemas.openxmlformats.org/officeDocument/2006/relationships/hyperlink" Target="https://www.cubesmart.com/texas-self-storage/dallas-self-storage/climate-controlled/1379.html" TargetMode="External"/><Relationship Id="rId9" Type="http://schemas.openxmlformats.org/officeDocument/2006/relationships/hyperlink" Target="https://www.publicstorage.com/self-storage-tx-san-antonio/620?sp=620|9|San%20Antonio|29.42412|-98.49363|0|1|1" TargetMode="External"/><Relationship Id="rId14" Type="http://schemas.openxmlformats.org/officeDocument/2006/relationships/hyperlink" Target="https://www.cubesmart.com/virginia-self-storage/ashburn-self-storage/3854.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C8579-D824-4756-B928-C7E68BDFB2DA}">
  <sheetPr codeName="Sheet11">
    <tabColor rgb="FFFFFF00"/>
  </sheetPr>
  <dimension ref="A1:AD49"/>
  <sheetViews>
    <sheetView showGridLines="0" zoomScale="80" zoomScaleNormal="80" workbookViewId="0">
      <pane xSplit="6" ySplit="5" topLeftCell="G6" activePane="bottomRight" state="frozen"/>
      <selection pane="topRight" activeCell="G1" sqref="G1"/>
      <selection pane="bottomLeft" activeCell="A6" sqref="A6"/>
      <selection pane="bottomRight" activeCell="D14" sqref="D14"/>
    </sheetView>
  </sheetViews>
  <sheetFormatPr defaultColWidth="9.140625" defaultRowHeight="14.25"/>
  <cols>
    <col min="1" max="1" width="19.85546875" style="13" customWidth="1"/>
    <col min="2" max="2" width="5.140625" style="13" customWidth="1"/>
    <col min="3" max="3" width="16.5703125" style="13" customWidth="1"/>
    <col min="4" max="4" width="9.140625" style="13"/>
    <col min="5" max="5" width="2.85546875" style="13" customWidth="1"/>
    <col min="6" max="6" width="36.140625" style="13" customWidth="1"/>
    <col min="7" max="10" width="14.7109375" style="13" bestFit="1" customWidth="1"/>
    <col min="11" max="13" width="16.42578125" style="13" bestFit="1" customWidth="1"/>
    <col min="14" max="17" width="17.7109375" style="13" bestFit="1" customWidth="1"/>
    <col min="18" max="21" width="18.85546875" style="13" bestFit="1" customWidth="1"/>
    <col min="22" max="23" width="20.7109375" style="13" bestFit="1" customWidth="1"/>
    <col min="24" max="30" width="14.7109375" style="13" bestFit="1" customWidth="1"/>
    <col min="31" max="16384" width="9.140625" style="13"/>
  </cols>
  <sheetData>
    <row r="1" spans="1:30" s="3" customFormat="1" ht="32.25">
      <c r="A1" s="1"/>
      <c r="B1" s="2"/>
      <c r="C1" s="2"/>
      <c r="D1" s="13"/>
      <c r="E1" s="1" t="s">
        <v>92</v>
      </c>
      <c r="F1" s="2"/>
      <c r="G1" s="2"/>
      <c r="H1" s="2"/>
      <c r="I1" s="2"/>
      <c r="J1" s="2"/>
      <c r="K1" s="2"/>
      <c r="L1" s="2"/>
      <c r="M1" s="2"/>
      <c r="N1" s="2"/>
      <c r="O1" s="2"/>
      <c r="P1" s="2"/>
      <c r="Q1" s="2"/>
      <c r="R1" s="2"/>
      <c r="S1" s="2"/>
      <c r="T1" s="2"/>
      <c r="U1" s="2"/>
      <c r="V1" s="2"/>
      <c r="W1" s="2"/>
      <c r="X1" s="2"/>
      <c r="Y1" s="2"/>
      <c r="Z1" s="2"/>
      <c r="AA1" s="2"/>
      <c r="AB1" s="2"/>
      <c r="AC1" s="2"/>
      <c r="AD1" s="2"/>
    </row>
    <row r="2" spans="1:30" s="3" customFormat="1" ht="23.25">
      <c r="A2" s="10" t="s">
        <v>10</v>
      </c>
      <c r="B2" s="2"/>
      <c r="C2" s="2"/>
      <c r="D2" s="13"/>
      <c r="E2" s="4"/>
      <c r="F2" s="220" t="s">
        <v>319</v>
      </c>
      <c r="G2" s="367" t="s">
        <v>178</v>
      </c>
      <c r="H2" s="367"/>
      <c r="I2" s="368" t="s">
        <v>179</v>
      </c>
      <c r="J2" s="368"/>
      <c r="K2" s="368"/>
      <c r="L2" s="368"/>
      <c r="M2" s="368"/>
      <c r="N2" s="368"/>
      <c r="O2" s="368"/>
      <c r="P2" s="368"/>
      <c r="Q2" s="368"/>
      <c r="R2" s="368"/>
      <c r="S2" s="368"/>
      <c r="T2" s="368"/>
      <c r="U2" s="368"/>
      <c r="V2" s="368"/>
      <c r="W2" s="368"/>
      <c r="X2" s="2"/>
      <c r="Y2" s="2"/>
      <c r="Z2" s="2"/>
      <c r="AA2" s="2"/>
      <c r="AB2" s="2"/>
      <c r="AC2" s="2"/>
      <c r="AD2" s="2"/>
    </row>
    <row r="3" spans="1:30" ht="24" thickBot="1">
      <c r="A3" s="25" t="s">
        <v>22</v>
      </c>
      <c r="B3" s="15"/>
      <c r="C3" s="15"/>
      <c r="E3" s="89"/>
      <c r="F3" s="12"/>
      <c r="G3" s="12"/>
      <c r="H3" s="12"/>
      <c r="I3" s="12"/>
      <c r="J3" s="12"/>
      <c r="K3" s="12"/>
      <c r="L3" s="12"/>
      <c r="M3" s="12"/>
      <c r="N3" s="12"/>
      <c r="O3" s="12"/>
      <c r="P3" s="12"/>
      <c r="Q3" s="12"/>
      <c r="R3" s="12"/>
      <c r="S3" s="12"/>
      <c r="T3" s="12"/>
      <c r="U3" s="12"/>
      <c r="V3" s="12"/>
      <c r="W3" s="12"/>
      <c r="X3" s="12"/>
      <c r="Y3" s="12"/>
      <c r="Z3" s="12"/>
      <c r="AA3" s="12"/>
      <c r="AB3" s="12"/>
      <c r="AC3" s="12"/>
      <c r="AD3" s="12"/>
    </row>
    <row r="4" spans="1:30" ht="15">
      <c r="A4" s="12" t="s">
        <v>242</v>
      </c>
      <c r="B4"/>
      <c r="C4" s="62" t="e">
        <f>'Cash Flow Old'!C4</f>
        <v>#REF!</v>
      </c>
      <c r="E4" s="12"/>
      <c r="F4" s="114" t="s">
        <v>27</v>
      </c>
      <c r="G4" s="130">
        <v>0</v>
      </c>
      <c r="H4" s="130">
        <v>0</v>
      </c>
      <c r="I4" s="102">
        <v>0</v>
      </c>
      <c r="J4" s="102">
        <v>1</v>
      </c>
      <c r="K4" s="102">
        <v>2</v>
      </c>
      <c r="L4" s="102">
        <v>3</v>
      </c>
      <c r="M4" s="102">
        <v>4</v>
      </c>
      <c r="N4" s="102">
        <v>5</v>
      </c>
      <c r="O4" s="102">
        <v>6</v>
      </c>
      <c r="P4" s="102">
        <v>7</v>
      </c>
      <c r="Q4" s="102">
        <v>8</v>
      </c>
      <c r="R4" s="102">
        <v>9</v>
      </c>
      <c r="S4" s="102">
        <v>10</v>
      </c>
      <c r="T4" s="102">
        <v>11</v>
      </c>
      <c r="U4" s="102">
        <v>12</v>
      </c>
      <c r="V4" s="102">
        <v>13</v>
      </c>
      <c r="W4" s="102">
        <v>14</v>
      </c>
      <c r="X4" s="102">
        <v>15</v>
      </c>
      <c r="Y4" s="102">
        <v>16</v>
      </c>
      <c r="Z4" s="102">
        <v>17</v>
      </c>
      <c r="AA4" s="102">
        <v>18</v>
      </c>
      <c r="AB4" s="102">
        <v>19</v>
      </c>
      <c r="AC4" s="102">
        <v>20</v>
      </c>
      <c r="AD4" s="102"/>
    </row>
    <row r="5" spans="1:30" ht="15.75" thickBot="1">
      <c r="A5" s="12" t="s">
        <v>243</v>
      </c>
      <c r="B5"/>
      <c r="C5" s="62">
        <f>'Cash Flow Old'!C5</f>
        <v>0</v>
      </c>
      <c r="E5" s="12"/>
      <c r="F5" s="15"/>
      <c r="G5" s="125">
        <v>2020</v>
      </c>
      <c r="H5" s="125">
        <v>2021</v>
      </c>
      <c r="I5" s="125">
        <v>2022</v>
      </c>
      <c r="J5" s="125">
        <v>2023</v>
      </c>
      <c r="K5" s="125">
        <v>2024</v>
      </c>
      <c r="L5" s="125">
        <v>2025</v>
      </c>
      <c r="M5" s="125">
        <v>2026</v>
      </c>
      <c r="N5" s="125">
        <v>2027</v>
      </c>
      <c r="O5" s="125">
        <v>2028</v>
      </c>
      <c r="P5" s="125">
        <v>2029</v>
      </c>
      <c r="Q5" s="125">
        <v>2030</v>
      </c>
      <c r="R5" s="125">
        <v>2031</v>
      </c>
      <c r="S5" s="125">
        <v>2032</v>
      </c>
      <c r="T5" s="125">
        <v>2033</v>
      </c>
      <c r="U5" s="125">
        <v>2034</v>
      </c>
      <c r="V5" s="125">
        <v>2035</v>
      </c>
      <c r="W5" s="125">
        <v>2036</v>
      </c>
      <c r="X5" s="125">
        <v>2037</v>
      </c>
      <c r="Y5" s="125">
        <v>2038</v>
      </c>
      <c r="Z5" s="125">
        <v>2039</v>
      </c>
      <c r="AA5" s="125">
        <v>2040</v>
      </c>
      <c r="AB5" s="125">
        <v>2041</v>
      </c>
      <c r="AC5" s="125">
        <v>2041</v>
      </c>
      <c r="AD5" s="125"/>
    </row>
    <row r="6" spans="1:30" ht="15">
      <c r="A6" s="12" t="s">
        <v>258</v>
      </c>
      <c r="B6"/>
      <c r="C6" s="62" t="e">
        <f>((C17+3)*C4)+((C23+3)*C5)</f>
        <v>#REF!</v>
      </c>
      <c r="E6" s="12"/>
      <c r="F6" s="12"/>
      <c r="G6" s="105"/>
      <c r="H6" s="105"/>
      <c r="I6" s="105"/>
      <c r="J6" s="105"/>
      <c r="K6" s="105"/>
      <c r="L6" s="12"/>
      <c r="M6" s="12"/>
      <c r="N6" s="12"/>
      <c r="O6" s="12"/>
      <c r="P6" s="12"/>
      <c r="Q6" s="12"/>
      <c r="R6" s="12"/>
      <c r="S6" s="12"/>
      <c r="T6" s="12"/>
      <c r="U6" s="12"/>
      <c r="V6" s="12"/>
      <c r="W6" s="12"/>
      <c r="X6" s="12"/>
      <c r="Y6" s="12"/>
      <c r="Z6" s="12"/>
      <c r="AA6" s="12"/>
      <c r="AB6" s="12"/>
      <c r="AC6" s="12"/>
      <c r="AD6" s="12"/>
    </row>
    <row r="7" spans="1:30" ht="15">
      <c r="A7"/>
      <c r="B7"/>
      <c r="C7" s="62"/>
      <c r="E7" s="12"/>
      <c r="F7" s="12" t="s">
        <v>89</v>
      </c>
      <c r="G7" s="105"/>
      <c r="H7" s="105"/>
      <c r="I7" s="105"/>
      <c r="J7" s="105"/>
      <c r="K7" s="105"/>
      <c r="L7" s="12"/>
      <c r="M7" s="12"/>
      <c r="N7" s="12"/>
      <c r="O7" s="12"/>
      <c r="P7" s="12"/>
      <c r="Q7" s="12"/>
      <c r="R7" s="12"/>
      <c r="S7" s="12"/>
      <c r="T7" s="12"/>
      <c r="U7" s="12"/>
      <c r="V7" s="12"/>
      <c r="W7" s="12"/>
      <c r="X7" s="12"/>
      <c r="Y7" s="12"/>
      <c r="Z7" s="12"/>
      <c r="AA7" s="12"/>
      <c r="AB7" s="12"/>
      <c r="AC7" s="12"/>
      <c r="AD7" s="12"/>
    </row>
    <row r="8" spans="1:30" ht="15">
      <c r="A8" s="140" t="s">
        <v>72</v>
      </c>
      <c r="B8" s="151"/>
      <c r="C8" s="62"/>
      <c r="E8" s="12"/>
      <c r="F8" s="90" t="s">
        <v>93</v>
      </c>
      <c r="G8" s="230">
        <v>97304053.079999998</v>
      </c>
      <c r="H8" s="230">
        <v>235185617.49000001</v>
      </c>
      <c r="I8" s="231">
        <f>IF(I$4&lt;=$C$25,$H$8*(1+$C$33)^I4,"")</f>
        <v>235185617.49000001</v>
      </c>
      <c r="J8" s="231">
        <f t="shared" ref="J8:AB8" si="0">IF(J$4&lt;=$C$25,$H$8*(1+$C$33)^J4,"")</f>
        <v>246944898.36450002</v>
      </c>
      <c r="K8" s="231">
        <f t="shared" si="0"/>
        <v>259292143.28272501</v>
      </c>
      <c r="L8" s="231">
        <f t="shared" si="0"/>
        <v>272256750.44686127</v>
      </c>
      <c r="M8" s="231">
        <f t="shared" si="0"/>
        <v>285869587.96920431</v>
      </c>
      <c r="N8" s="231">
        <f t="shared" si="0"/>
        <v>300163067.36766458</v>
      </c>
      <c r="O8" s="231">
        <f t="shared" si="0"/>
        <v>315171220.73604774</v>
      </c>
      <c r="P8" s="231">
        <f t="shared" si="0"/>
        <v>330929781.77285022</v>
      </c>
      <c r="Q8" s="231">
        <f t="shared" si="0"/>
        <v>347476270.86149269</v>
      </c>
      <c r="R8" s="231">
        <f t="shared" si="0"/>
        <v>364850084.40456736</v>
      </c>
      <c r="S8" s="231">
        <f t="shared" si="0"/>
        <v>383092588.62479568</v>
      </c>
      <c r="T8" s="231">
        <f t="shared" si="0"/>
        <v>402247218.05603552</v>
      </c>
      <c r="U8" s="231">
        <f t="shared" si="0"/>
        <v>422359578.95883721</v>
      </c>
      <c r="V8" s="231">
        <f t="shared" si="0"/>
        <v>443477557.90677917</v>
      </c>
      <c r="W8" s="231">
        <f t="shared" si="0"/>
        <v>465651435.802118</v>
      </c>
      <c r="X8" s="231">
        <f t="shared" si="0"/>
        <v>488934007.59222406</v>
      </c>
      <c r="Y8" s="231" t="str">
        <f t="shared" si="0"/>
        <v/>
      </c>
      <c r="Z8" s="231" t="str">
        <f t="shared" si="0"/>
        <v/>
      </c>
      <c r="AA8" s="231" t="str">
        <f t="shared" si="0"/>
        <v/>
      </c>
      <c r="AB8" s="231" t="str">
        <f t="shared" si="0"/>
        <v/>
      </c>
      <c r="AC8" s="106"/>
      <c r="AD8" s="106"/>
    </row>
    <row r="9" spans="1:30" ht="15">
      <c r="A9" s="12" t="s">
        <v>253</v>
      </c>
      <c r="B9"/>
      <c r="C9" s="202" t="e">
        <f>'Cash Flow Old'!C8</f>
        <v>#REF!</v>
      </c>
      <c r="E9" s="12"/>
      <c r="F9" s="90" t="s">
        <v>176</v>
      </c>
      <c r="G9" s="230">
        <v>143060.5</v>
      </c>
      <c r="H9" s="230">
        <v>104573.45</v>
      </c>
      <c r="I9" s="231" t="e">
        <f>IF(I$4&lt;=$C$25,-#REF!*(1+$C$18)^I$4+($H$9*(1+$C$18)^I$4),"")</f>
        <v>#REF!</v>
      </c>
      <c r="J9" s="231" t="e">
        <f>IF(J$4&lt;=$C$25,-#REF!*(1+$C$18)^J$4+($H$9*(1+$C$18)^J$4),"")</f>
        <v>#REF!</v>
      </c>
      <c r="K9" s="231" t="e">
        <f>IF(K$4&lt;=$C$25,-#REF!*(1+$C$18)^K$4+($H$9*(1+$C$18)^K$4),"")</f>
        <v>#REF!</v>
      </c>
      <c r="L9" s="231" t="e">
        <f>IF(L$4&lt;=$C$25,-#REF!*(1+$C$18)^L$4+($H$9*(1+$C$18)^L$4),"")</f>
        <v>#REF!</v>
      </c>
      <c r="M9" s="231" t="e">
        <f>IF(M$4&lt;=$C$25,-#REF!*(1+$C$18)^M$4+($H$9*(1+$C$18)^M$4),"")</f>
        <v>#REF!</v>
      </c>
      <c r="N9" s="231" t="e">
        <f>IF(N$4&lt;=$C$25,-#REF!*(1+$C$18)^N$4+($H$9*(1+$C$18)^N$4),"")</f>
        <v>#REF!</v>
      </c>
      <c r="O9" s="231" t="e">
        <f>IF(O$4&lt;=$C$25,-#REF!*(1+$C$18)^O$4+($H$9*(1+$C$18)^O$4),"")</f>
        <v>#REF!</v>
      </c>
      <c r="P9" s="231" t="e">
        <f>IF(P$4&lt;=$C$25,-#REF!*(1+$C$18)^P$4+($H$9*(1+$C$18)^P$4),"")</f>
        <v>#REF!</v>
      </c>
      <c r="Q9" s="231" t="e">
        <f>IF(Q$4&lt;=$C$25,-#REF!*(1+$C$18)^Q$4+($H$9*(1+$C$18)^Q$4),"")</f>
        <v>#REF!</v>
      </c>
      <c r="R9" s="231" t="e">
        <f>IF(R$4&lt;=$C$25,-#REF!*(1+$C$18)^R$4+($H$9*(1+$C$18)^R$4),"")</f>
        <v>#REF!</v>
      </c>
      <c r="S9" s="231" t="e">
        <f>IF(S$4&lt;=$C$25,-#REF!*(1+$C$18)^S$4+($H$9*(1+$C$18)^S$4),"")</f>
        <v>#REF!</v>
      </c>
      <c r="T9" s="231" t="e">
        <f>IF(T$4&lt;=$C$25,-#REF!*(1+$C$18)^T$4+($H$9*(1+$C$18)^T$4),"")</f>
        <v>#REF!</v>
      </c>
      <c r="U9" s="231" t="e">
        <f>IF(U$4&lt;=$C$25,-#REF!*(1+$C$18)^U$4+($H$9*(1+$C$18)^U$4),"")</f>
        <v>#REF!</v>
      </c>
      <c r="V9" s="231" t="e">
        <f>IF(V$4&lt;=$C$25,-#REF!*(1+$C$18)^V$4+($H$9*(1+$C$18)^V$4),"")</f>
        <v>#REF!</v>
      </c>
      <c r="W9" s="231" t="e">
        <f>IF(W$4&lt;=$C$25,-#REF!*(1+$C$18)^W$4+($H$9*(1+$C$18)^W$4),"")</f>
        <v>#REF!</v>
      </c>
      <c r="X9" s="231" t="e">
        <f>IF(X$4&lt;=$C$25,-#REF!*(1+$C$18)^X$4+($H$9*(1+$C$18)^X$4),"")</f>
        <v>#REF!</v>
      </c>
      <c r="Y9" s="231" t="str">
        <f>IF(Y$4&lt;=$C$25,-#REF!*(1+$C$18)^Y$4+($H$9*(1+$C$18)^Y$4),"")</f>
        <v/>
      </c>
      <c r="Z9" s="231" t="str">
        <f>IF(Z$4&lt;=$C$25,-#REF!*(1+$C$18)^Z$4+($H$9*(1+$C$18)^Z$4),"")</f>
        <v/>
      </c>
      <c r="AA9" s="231" t="str">
        <f>IF(AA$4&lt;=$C$25,-#REF!*(1+$C$18)^AA$4+($H$9*(1+$C$18)^AA$4),"")</f>
        <v/>
      </c>
      <c r="AB9" s="231" t="str">
        <f>IF(AB$4&lt;=$C$25,-#REF!*(1+$C$18)^AB$4+($H$9*(1+$C$18)^AB$4),"")</f>
        <v/>
      </c>
      <c r="AC9" s="106"/>
      <c r="AD9" s="106"/>
    </row>
    <row r="10" spans="1:30" ht="15">
      <c r="A10" s="12" t="s">
        <v>254</v>
      </c>
      <c r="B10"/>
      <c r="C10" s="202" t="e">
        <f>'Cash Flow Old'!C9</f>
        <v>#REF!</v>
      </c>
      <c r="E10" s="12"/>
      <c r="F10" s="90" t="s">
        <v>177</v>
      </c>
      <c r="G10" s="230">
        <v>78149899.849999979</v>
      </c>
      <c r="H10" s="230">
        <v>51056642.465997159</v>
      </c>
      <c r="I10" s="231">
        <f>IF(I$4&lt;=$C$25,$H$10*(1+$C$33)^I4,"")</f>
        <v>51056642.465997159</v>
      </c>
      <c r="J10" s="231">
        <f t="shared" ref="J10:AB10" si="1">IF(J$4&lt;=$C$25,$H$10*(1+$C$33)^J4,"")</f>
        <v>53609474.589297019</v>
      </c>
      <c r="K10" s="231">
        <f t="shared" si="1"/>
        <v>56289948.31876187</v>
      </c>
      <c r="L10" s="231">
        <f t="shared" si="1"/>
        <v>59104445.734699965</v>
      </c>
      <c r="M10" s="231">
        <f t="shared" si="1"/>
        <v>62059668.021434963</v>
      </c>
      <c r="N10" s="231">
        <f t="shared" si="1"/>
        <v>65162651.422506712</v>
      </c>
      <c r="O10" s="231">
        <f t="shared" si="1"/>
        <v>68420783.993632048</v>
      </c>
      <c r="P10" s="231">
        <f t="shared" si="1"/>
        <v>71841823.193313658</v>
      </c>
      <c r="Q10" s="231">
        <f t="shared" si="1"/>
        <v>75433914.352979332</v>
      </c>
      <c r="R10" s="231">
        <f t="shared" si="1"/>
        <v>79205610.0706283</v>
      </c>
      <c r="S10" s="231">
        <f t="shared" si="1"/>
        <v>83165890.574159712</v>
      </c>
      <c r="T10" s="231">
        <f t="shared" si="1"/>
        <v>87324185.102867708</v>
      </c>
      <c r="U10" s="231">
        <f t="shared" si="1"/>
        <v>91690394.358011082</v>
      </c>
      <c r="V10" s="231">
        <f t="shared" si="1"/>
        <v>96274914.075911656</v>
      </c>
      <c r="W10" s="231">
        <f t="shared" si="1"/>
        <v>101088659.77970721</v>
      </c>
      <c r="X10" s="231">
        <f t="shared" si="1"/>
        <v>106143092.76869261</v>
      </c>
      <c r="Y10" s="231" t="str">
        <f t="shared" si="1"/>
        <v/>
      </c>
      <c r="Z10" s="231" t="str">
        <f t="shared" si="1"/>
        <v/>
      </c>
      <c r="AA10" s="231" t="str">
        <f t="shared" si="1"/>
        <v/>
      </c>
      <c r="AB10" s="231" t="str">
        <f t="shared" si="1"/>
        <v/>
      </c>
      <c r="AC10" s="106"/>
      <c r="AD10" s="106"/>
    </row>
    <row r="11" spans="1:30" ht="15">
      <c r="A11" s="12"/>
      <c r="B11"/>
      <c r="C11" s="26"/>
      <c r="E11" s="12"/>
      <c r="F11" s="12" t="s">
        <v>7</v>
      </c>
      <c r="G11" s="232">
        <f>SUM(G8:G10)</f>
        <v>175597013.42999998</v>
      </c>
      <c r="H11" s="232">
        <f t="shared" ref="H11" si="2">SUM(H8:H10)</f>
        <v>286346833.40599716</v>
      </c>
      <c r="I11" s="232" t="e">
        <f>IF(I$4&lt;=$C$25,SUM(I8:I10),"")</f>
        <v>#REF!</v>
      </c>
      <c r="J11" s="232" t="e">
        <f t="shared" ref="J11:AB11" si="3">IF(J$4&lt;=$C$25,SUM(J8:J10),"")</f>
        <v>#REF!</v>
      </c>
      <c r="K11" s="232" t="e">
        <f t="shared" si="3"/>
        <v>#REF!</v>
      </c>
      <c r="L11" s="232" t="e">
        <f t="shared" si="3"/>
        <v>#REF!</v>
      </c>
      <c r="M11" s="232" t="e">
        <f t="shared" si="3"/>
        <v>#REF!</v>
      </c>
      <c r="N11" s="232" t="e">
        <f t="shared" si="3"/>
        <v>#REF!</v>
      </c>
      <c r="O11" s="232" t="e">
        <f t="shared" si="3"/>
        <v>#REF!</v>
      </c>
      <c r="P11" s="232" t="e">
        <f t="shared" si="3"/>
        <v>#REF!</v>
      </c>
      <c r="Q11" s="232" t="e">
        <f t="shared" si="3"/>
        <v>#REF!</v>
      </c>
      <c r="R11" s="232" t="e">
        <f t="shared" si="3"/>
        <v>#REF!</v>
      </c>
      <c r="S11" s="232" t="e">
        <f t="shared" si="3"/>
        <v>#REF!</v>
      </c>
      <c r="T11" s="232" t="e">
        <f t="shared" si="3"/>
        <v>#REF!</v>
      </c>
      <c r="U11" s="232" t="e">
        <f t="shared" si="3"/>
        <v>#REF!</v>
      </c>
      <c r="V11" s="232" t="e">
        <f t="shared" si="3"/>
        <v>#REF!</v>
      </c>
      <c r="W11" s="232" t="e">
        <f t="shared" si="3"/>
        <v>#REF!</v>
      </c>
      <c r="X11" s="232" t="e">
        <f t="shared" si="3"/>
        <v>#REF!</v>
      </c>
      <c r="Y11" s="232" t="str">
        <f t="shared" si="3"/>
        <v/>
      </c>
      <c r="Z11" s="232" t="str">
        <f t="shared" si="3"/>
        <v/>
      </c>
      <c r="AA11" s="232" t="str">
        <f t="shared" si="3"/>
        <v/>
      </c>
      <c r="AB11" s="232" t="str">
        <f t="shared" si="3"/>
        <v/>
      </c>
      <c r="AC11" s="92"/>
      <c r="AD11" s="92"/>
    </row>
    <row r="12" spans="1:30" ht="15.75" thickBot="1">
      <c r="A12" s="25" t="s">
        <v>196</v>
      </c>
      <c r="B12" s="15"/>
      <c r="C12" s="15"/>
      <c r="E12" s="12"/>
      <c r="F12" s="12"/>
      <c r="G12" s="231"/>
      <c r="H12" s="231"/>
      <c r="I12" s="231"/>
      <c r="J12" s="231"/>
      <c r="K12" s="231"/>
      <c r="L12" s="231"/>
      <c r="M12" s="231"/>
      <c r="N12" s="231"/>
      <c r="O12" s="231"/>
      <c r="P12" s="231"/>
      <c r="Q12" s="231"/>
      <c r="R12" s="231"/>
      <c r="S12" s="231"/>
      <c r="T12" s="231"/>
      <c r="U12" s="231"/>
      <c r="V12" s="231"/>
      <c r="W12" s="231"/>
      <c r="X12" s="231"/>
      <c r="Y12" s="231"/>
      <c r="Z12" s="231"/>
      <c r="AA12" s="231"/>
      <c r="AB12" s="231"/>
      <c r="AC12" s="106"/>
      <c r="AD12" s="106"/>
    </row>
    <row r="13" spans="1:30" ht="15">
      <c r="A13" s="105" t="s">
        <v>217</v>
      </c>
      <c r="B13"/>
      <c r="C13" s="203" t="s">
        <v>218</v>
      </c>
      <c r="E13" s="12"/>
      <c r="F13" s="12" t="s">
        <v>94</v>
      </c>
      <c r="G13" s="231"/>
      <c r="H13" s="231"/>
      <c r="I13" s="231"/>
      <c r="J13" s="231"/>
      <c r="K13" s="231"/>
      <c r="L13" s="231"/>
      <c r="M13" s="231"/>
      <c r="N13" s="231"/>
      <c r="O13" s="231"/>
      <c r="P13" s="231"/>
      <c r="Q13" s="231"/>
      <c r="R13" s="231"/>
      <c r="S13" s="231"/>
      <c r="T13" s="231"/>
      <c r="U13" s="231"/>
      <c r="V13" s="231"/>
      <c r="W13" s="231"/>
      <c r="X13" s="231"/>
      <c r="Y13" s="231"/>
      <c r="Z13" s="231"/>
      <c r="AA13" s="231"/>
      <c r="AB13" s="231"/>
      <c r="AC13" s="107"/>
      <c r="AD13" s="107"/>
    </row>
    <row r="14" spans="1:30">
      <c r="A14" s="105" t="s">
        <v>197</v>
      </c>
      <c r="B14" s="105"/>
      <c r="C14" s="112">
        <f>IF(C13="Best Case",0.8,IF(C13="Most Likely Case",0.5,0))</f>
        <v>0.5</v>
      </c>
      <c r="E14" s="12"/>
      <c r="F14" s="90" t="s">
        <v>182</v>
      </c>
      <c r="G14" s="230">
        <v>82662114.349999994</v>
      </c>
      <c r="H14" s="230">
        <v>201870460.80000001</v>
      </c>
      <c r="I14" s="231" t="e">
        <f>IF(I$4&lt;=$C$25,($H$14-#REF!)*(1+$C$33)^I$4,"")</f>
        <v>#REF!</v>
      </c>
      <c r="J14" s="231" t="e">
        <f>IF(J$4&lt;=$C$25,($H$14-#REF!)*(1+$C$33)^J$4,"")</f>
        <v>#REF!</v>
      </c>
      <c r="K14" s="231" t="e">
        <f>IF(K$4&lt;=$C$25,($H$14-#REF!)*(1+$C$33)^K$4,"")</f>
        <v>#REF!</v>
      </c>
      <c r="L14" s="231" t="e">
        <f>IF(L$4&lt;=$C$25,($H$14-#REF!)*(1+$C$33)^L$4,"")</f>
        <v>#REF!</v>
      </c>
      <c r="M14" s="231" t="e">
        <f>IF(M$4&lt;=$C$25,($H$14-#REF!)*(1+$C$33)^M$4,"")</f>
        <v>#REF!</v>
      </c>
      <c r="N14" s="231" t="e">
        <f>IF(N$4&lt;=$C$25,($H$14-#REF!)*(1+$C$33)^N$4,"")</f>
        <v>#REF!</v>
      </c>
      <c r="O14" s="231" t="e">
        <f>IF(O$4&lt;=$C$25,($H$14-#REF!)*(1+$C$33)^O$4,"")</f>
        <v>#REF!</v>
      </c>
      <c r="P14" s="231" t="e">
        <f>IF(P$4&lt;=$C$25,($H$14-#REF!)*(1+$C$33)^P$4,"")</f>
        <v>#REF!</v>
      </c>
      <c r="Q14" s="231" t="e">
        <f>IF(Q$4&lt;=$C$25,($H$14-#REF!)*(1+$C$33)^Q$4,"")</f>
        <v>#REF!</v>
      </c>
      <c r="R14" s="231" t="e">
        <f>IF(R$4&lt;=$C$25,($H$14-#REF!)*(1+$C$33)^R$4,"")</f>
        <v>#REF!</v>
      </c>
      <c r="S14" s="231" t="e">
        <f>IF(S$4&lt;=$C$25,($H$14-#REF!)*(1+$C$33)^S$4,"")</f>
        <v>#REF!</v>
      </c>
      <c r="T14" s="231" t="e">
        <f>IF(T$4&lt;=$C$25,($H$14-#REF!)*(1+$C$33)^T$4,"")</f>
        <v>#REF!</v>
      </c>
      <c r="U14" s="231" t="e">
        <f>IF(U$4&lt;=$C$25,($H$14-#REF!)*(1+$C$33)^U$4,"")</f>
        <v>#REF!</v>
      </c>
      <c r="V14" s="231" t="e">
        <f>IF(V$4&lt;=$C$25,($H$14-#REF!)*(1+$C$33)^V$4,"")</f>
        <v>#REF!</v>
      </c>
      <c r="W14" s="231" t="e">
        <f>IF(W$4&lt;=$C$25,($H$14-#REF!)*(1+$C$33)^W$4,"")</f>
        <v>#REF!</v>
      </c>
      <c r="X14" s="231" t="e">
        <f>IF(X$4&lt;=$C$25,($H$14-#REF!)*(1+$C$33)^X$4,"")</f>
        <v>#REF!</v>
      </c>
      <c r="Y14" s="231" t="str">
        <f>IF(Y$4&lt;=$C$25,($H$14-#REF!)*(1+$C$33)^Y$4,"")</f>
        <v/>
      </c>
      <c r="Z14" s="231" t="str">
        <f>IF(Z$4&lt;=$C$25,($H$14-#REF!)*(1+$C$33)^Z$4,"")</f>
        <v/>
      </c>
      <c r="AA14" s="231" t="str">
        <f>IF(AA$4&lt;=$C$25,($H$14-#REF!)*(1+$C$33)^AA$4,"")</f>
        <v/>
      </c>
      <c r="AB14" s="231" t="str">
        <f>IF(AB$4&lt;=$C$25,($H$14-#REF!)*(1+$C$33)^AB$4,"")</f>
        <v/>
      </c>
      <c r="AC14" s="107"/>
      <c r="AD14" s="107"/>
    </row>
    <row r="15" spans="1:30">
      <c r="A15" s="105" t="s">
        <v>198</v>
      </c>
      <c r="B15" s="105"/>
      <c r="C15" s="221" t="e">
        <f>-#REF!</f>
        <v>#REF!</v>
      </c>
      <c r="E15" s="12"/>
      <c r="F15" s="90" t="s">
        <v>176</v>
      </c>
      <c r="G15" s="230">
        <v>239471.56</v>
      </c>
      <c r="H15" s="230">
        <v>236265.89</v>
      </c>
      <c r="I15" s="231" t="e">
        <f>IF(I$4&lt;=$C$25,((#REF!*$C$37)+$H$15)*(1+$C$18)^I$4,"")</f>
        <v>#REF!</v>
      </c>
      <c r="J15" s="231" t="e">
        <f>IF(J$4&lt;=$C$25,((#REF!*$C$37)+$H$15)*(1+$C$18)^J$4,"")</f>
        <v>#REF!</v>
      </c>
      <c r="K15" s="231" t="e">
        <f>IF(K$4&lt;=$C$25,((#REF!*$C$37)+$H$15)*(1+$C$18)^K$4,"")</f>
        <v>#REF!</v>
      </c>
      <c r="L15" s="231" t="e">
        <f>IF(L$4&lt;=$C$25,((#REF!*$C$37)+$H$15)*(1+$C$18)^L$4,"")</f>
        <v>#REF!</v>
      </c>
      <c r="M15" s="231" t="e">
        <f>IF(M$4&lt;=$C$25,((#REF!*$C$37)+$H$15)*(1+$C$18)^M$4,"")</f>
        <v>#REF!</v>
      </c>
      <c r="N15" s="231" t="e">
        <f>IF(N$4&lt;=$C$25,((#REF!*$C$37)+$H$15)*(1+$C$18)^N$4,"")</f>
        <v>#REF!</v>
      </c>
      <c r="O15" s="231" t="e">
        <f>IF(O$4&lt;=$C$25,((#REF!*$C$37)+$H$15)*(1+$C$18)^O$4,"")</f>
        <v>#REF!</v>
      </c>
      <c r="P15" s="231" t="e">
        <f>IF(P$4&lt;=$C$25,((#REF!*$C$37)+$H$15)*(1+$C$18)^P$4,"")</f>
        <v>#REF!</v>
      </c>
      <c r="Q15" s="231" t="e">
        <f>IF(Q$4&lt;=$C$25,((#REF!*$C$37)+$H$15)*(1+$C$18)^Q$4,"")</f>
        <v>#REF!</v>
      </c>
      <c r="R15" s="231" t="e">
        <f>IF(R$4&lt;=$C$25,((#REF!*$C$37)+$H$15)*(1+$C$18)^R$4,"")</f>
        <v>#REF!</v>
      </c>
      <c r="S15" s="231" t="e">
        <f>IF(S$4&lt;=$C$25,((#REF!*$C$37)+$H$15)*(1+$C$18)^S$4,"")</f>
        <v>#REF!</v>
      </c>
      <c r="T15" s="231" t="e">
        <f>IF(T$4&lt;=$C$25,((#REF!*$C$37)+$H$15)*(1+$C$18)^T$4,"")</f>
        <v>#REF!</v>
      </c>
      <c r="U15" s="231" t="e">
        <f>IF(U$4&lt;=$C$25,((#REF!*$C$37)+$H$15)*(1+$C$18)^U$4,"")</f>
        <v>#REF!</v>
      </c>
      <c r="V15" s="231" t="e">
        <f>IF(V$4&lt;=$C$25,((#REF!*$C$37)+$H$15)*(1+$C$18)^V$4,"")</f>
        <v>#REF!</v>
      </c>
      <c r="W15" s="231" t="e">
        <f>IF(W$4&lt;=$C$25,((#REF!*$C$37)+$H$15)*(1+$C$18)^W$4,"")</f>
        <v>#REF!</v>
      </c>
      <c r="X15" s="231" t="e">
        <f>IF(X$4&lt;=$C$25,((#REF!*$C$37)+$H$15)*(1+$C$18)^X$4,"")</f>
        <v>#REF!</v>
      </c>
      <c r="Y15" s="231" t="str">
        <f>IF(Y$4&lt;=$C$25,((#REF!*$C$37)+$H$15)*(1+$C$18)^Y$4,"")</f>
        <v/>
      </c>
      <c r="Z15" s="231" t="str">
        <f>IF(Z$4&lt;=$C$25,((#REF!*$C$37)+$H$15)*(1+$C$18)^Z$4,"")</f>
        <v/>
      </c>
      <c r="AA15" s="231" t="str">
        <f>IF(AA$4&lt;=$C$25,((#REF!*$C$37)+$H$15)*(1+$C$18)^AA$4,"")</f>
        <v/>
      </c>
      <c r="AB15" s="231" t="str">
        <f>IF(AB$4&lt;=$C$25,((#REF!*$C$37)+$H$15)*(1+$C$18)^AB$4,"")</f>
        <v/>
      </c>
      <c r="AC15" s="107"/>
      <c r="AD15" s="107"/>
    </row>
    <row r="16" spans="1:30">
      <c r="A16" s="12"/>
      <c r="B16" s="12"/>
      <c r="C16" s="62"/>
      <c r="E16" s="12"/>
      <c r="F16" s="90" t="s">
        <v>106</v>
      </c>
      <c r="G16" s="230">
        <v>0</v>
      </c>
      <c r="H16" s="230">
        <v>0</v>
      </c>
      <c r="I16" s="231" t="e">
        <f>IF(I$4&lt;=$C$25,#REF!*(1+$C$20)^I$4,"")</f>
        <v>#REF!</v>
      </c>
      <c r="J16" s="231" t="e">
        <f>IF(J$4&lt;=$C$25,#REF!*(1+$C$20)^J$4,"")</f>
        <v>#REF!</v>
      </c>
      <c r="K16" s="231" t="e">
        <f>IF(K$4&lt;=$C$25,#REF!*(1+$C$20)^K$4,"")</f>
        <v>#REF!</v>
      </c>
      <c r="L16" s="231" t="e">
        <f>IF(L$4&lt;=$C$25,#REF!*(1+$C$20)^L$4,"")</f>
        <v>#REF!</v>
      </c>
      <c r="M16" s="231" t="e">
        <f>IF(M$4&lt;=$C$25,#REF!*(1+$C$20)^M$4,"")</f>
        <v>#REF!</v>
      </c>
      <c r="N16" s="231" t="e">
        <f>IF(N$4&lt;=$C$25,#REF!*(1+$C$20)^N$4,"")</f>
        <v>#REF!</v>
      </c>
      <c r="O16" s="231" t="e">
        <f>IF(O$4&lt;=$C$25,#REF!*(1+$C$20)^O$4,"")</f>
        <v>#REF!</v>
      </c>
      <c r="P16" s="231" t="e">
        <f>IF(P$4&lt;=$C$25,#REF!*(1+$C$20)^P$4,"")</f>
        <v>#REF!</v>
      </c>
      <c r="Q16" s="231" t="e">
        <f>IF(Q$4&lt;=$C$25,#REF!*(1+$C$20)^Q$4,"")</f>
        <v>#REF!</v>
      </c>
      <c r="R16" s="231" t="e">
        <f>IF(R$4&lt;=$C$25,#REF!*(1+$C$20)^R$4,"")</f>
        <v>#REF!</v>
      </c>
      <c r="S16" s="231" t="e">
        <f>IF(S$4&lt;=$C$25,#REF!*(1+$C$20)^S$4,"")</f>
        <v>#REF!</v>
      </c>
      <c r="T16" s="231" t="e">
        <f>IF(T$4&lt;=$C$25,#REF!*(1+$C$20)^T$4,"")</f>
        <v>#REF!</v>
      </c>
      <c r="U16" s="231" t="e">
        <f>IF(U$4&lt;=$C$25,#REF!*(1+$C$20)^U$4,"")</f>
        <v>#REF!</v>
      </c>
      <c r="V16" s="231" t="e">
        <f>IF(V$4&lt;=$C$25,#REF!*(1+$C$20)^V$4,"")</f>
        <v>#REF!</v>
      </c>
      <c r="W16" s="231" t="e">
        <f>IF(W$4&lt;=$C$25,#REF!*(1+$C$20)^W$4,"")</f>
        <v>#REF!</v>
      </c>
      <c r="X16" s="231" t="e">
        <f>IF(X$4&lt;=$C$25,#REF!*(1+$C$20)^X$4,"")</f>
        <v>#REF!</v>
      </c>
      <c r="Y16" s="231" t="str">
        <f>IF(Y$4&lt;=$C$25,#REF!*(1+$C$20)^Y$4,"")</f>
        <v/>
      </c>
      <c r="Z16" s="231" t="str">
        <f>IF(Z$4&lt;=$C$25,#REF!*(1+$C$20)^Z$4,"")</f>
        <v/>
      </c>
      <c r="AA16" s="231" t="str">
        <f>IF(AA$4&lt;=$C$25,#REF!*(1+$C$20)^AA$4,"")</f>
        <v/>
      </c>
      <c r="AB16" s="231" t="str">
        <f>IF(AB$4&lt;=$C$25,#REF!*(1+$C$20)^AB$4,"")</f>
        <v/>
      </c>
      <c r="AC16" s="106"/>
      <c r="AD16" s="106"/>
    </row>
    <row r="17" spans="1:30" ht="15">
      <c r="A17" s="140" t="s">
        <v>103</v>
      </c>
      <c r="B17"/>
      <c r="C17" s="59"/>
      <c r="E17" s="12"/>
      <c r="F17" s="90" t="s">
        <v>181</v>
      </c>
      <c r="G17" s="230">
        <v>647212.43000000005</v>
      </c>
      <c r="H17" s="230">
        <v>651214.24</v>
      </c>
      <c r="I17" s="231" t="e">
        <f>IF(I$4&lt;=$C$25,SUM(#REF!,$H$17)*(1+$C$19)^I4,"")</f>
        <v>#REF!</v>
      </c>
      <c r="J17" s="231" t="e">
        <f>IF(J$4&lt;=$C$25,SUM(#REF!,$H$17)*(1+$C$19)^J4,"")</f>
        <v>#REF!</v>
      </c>
      <c r="K17" s="231" t="e">
        <f>IF(K$4&lt;=$C$25,SUM(#REF!,$H$17)*(1+$C$19)^K4,"")</f>
        <v>#REF!</v>
      </c>
      <c r="L17" s="231" t="e">
        <f>IF(L$4&lt;=$C$25,SUM(#REF!,$H$17)*(1+$C$19)^L4,"")</f>
        <v>#REF!</v>
      </c>
      <c r="M17" s="231" t="e">
        <f>IF(M$4&lt;=$C$25,SUM(#REF!,$H$17)*(1+$C$19)^M4,"")</f>
        <v>#REF!</v>
      </c>
      <c r="N17" s="231" t="e">
        <f>IF(N$4&lt;=$C$25,SUM(#REF!,$H$17)*(1+$C$19)^N4,"")</f>
        <v>#REF!</v>
      </c>
      <c r="O17" s="231" t="e">
        <f>IF(O$4&lt;=$C$25,SUM(#REF!,$H$17)*(1+$C$19)^O4,"")</f>
        <v>#REF!</v>
      </c>
      <c r="P17" s="231" t="e">
        <f>IF(P$4&lt;=$C$25,SUM(#REF!,$H$17)*(1+$C$19)^P4,"")</f>
        <v>#REF!</v>
      </c>
      <c r="Q17" s="231" t="e">
        <f>IF(Q$4&lt;=$C$25,SUM(#REF!,$H$17)*(1+$C$19)^Q4,"")</f>
        <v>#REF!</v>
      </c>
      <c r="R17" s="231" t="e">
        <f>IF(R$4&lt;=$C$25,SUM(#REF!,$H$17)*(1+$C$19)^R4,"")</f>
        <v>#REF!</v>
      </c>
      <c r="S17" s="231" t="e">
        <f>IF(S$4&lt;=$C$25,SUM(#REF!,$H$17)*(1+$C$19)^S4,"")</f>
        <v>#REF!</v>
      </c>
      <c r="T17" s="231" t="e">
        <f>IF(T$4&lt;=$C$25,SUM(#REF!,$H$17)*(1+$C$19)^T4,"")</f>
        <v>#REF!</v>
      </c>
      <c r="U17" s="231" t="e">
        <f>IF(U$4&lt;=$C$25,SUM(#REF!,$H$17)*(1+$C$19)^U4,"")</f>
        <v>#REF!</v>
      </c>
      <c r="V17" s="231" t="e">
        <f>IF(V$4&lt;=$C$25,SUM(#REF!,$H$17)*(1+$C$19)^V4,"")</f>
        <v>#REF!</v>
      </c>
      <c r="W17" s="231" t="e">
        <f>IF(W$4&lt;=$C$25,SUM(#REF!,$H$17)*(1+$C$19)^W4,"")</f>
        <v>#REF!</v>
      </c>
      <c r="X17" s="231" t="e">
        <f>IF(X$4&lt;=$C$25,SUM(#REF!,$H$17)*(1+$C$19)^X4,"")</f>
        <v>#REF!</v>
      </c>
      <c r="Y17" s="231" t="str">
        <f>IF(Y$4&lt;=$C$25,SUM(#REF!,$H$17)*(1+$C$19)^Y4,"")</f>
        <v/>
      </c>
      <c r="Z17" s="231" t="str">
        <f>IF(Z$4&lt;=$C$25,SUM(#REF!,$H$17)*(1+$C$19)^Z4,"")</f>
        <v/>
      </c>
      <c r="AA17" s="231" t="str">
        <f>IF(AA$4&lt;=$C$25,SUM(#REF!,$H$17)*(1+$C$19)^AA4,"")</f>
        <v/>
      </c>
      <c r="AB17" s="231" t="str">
        <f>IF(AB$4&lt;=$C$25,SUM(#REF!,$H$17)*(1+$C$19)^AB4,"")</f>
        <v/>
      </c>
      <c r="AC17" s="106"/>
      <c r="AD17" s="106"/>
    </row>
    <row r="18" spans="1:30" ht="15">
      <c r="A18" s="12" t="s">
        <v>199</v>
      </c>
      <c r="B18"/>
      <c r="C18" s="201">
        <f>IF($C$13="Best Case",0.05,IF($C$13="Most Likely Case",0.0325,0.01))</f>
        <v>3.2500000000000001E-2</v>
      </c>
      <c r="E18" s="12"/>
      <c r="F18" s="90" t="s">
        <v>177</v>
      </c>
      <c r="G18" s="230">
        <v>62540355.260000095</v>
      </c>
      <c r="H18" s="230">
        <v>48350040.788259499</v>
      </c>
      <c r="I18" s="231">
        <f t="shared" ref="I18:AB18" si="4">IF(I$4&lt;=$C$25,($H$18*(1+$C$33)^I$4),"")</f>
        <v>48350040.788259499</v>
      </c>
      <c r="J18" s="231">
        <f t="shared" si="4"/>
        <v>50767542.827672474</v>
      </c>
      <c r="K18" s="231">
        <f t="shared" si="4"/>
        <v>53305919.9690561</v>
      </c>
      <c r="L18" s="231">
        <f t="shared" si="4"/>
        <v>55971215.967508912</v>
      </c>
      <c r="M18" s="231">
        <f t="shared" si="4"/>
        <v>58769776.765884347</v>
      </c>
      <c r="N18" s="231">
        <f t="shared" si="4"/>
        <v>61708265.60417857</v>
      </c>
      <c r="O18" s="231">
        <f t="shared" si="4"/>
        <v>64793678.884387493</v>
      </c>
      <c r="P18" s="231">
        <f t="shared" si="4"/>
        <v>68033362.828606874</v>
      </c>
      <c r="Q18" s="231">
        <f t="shared" si="4"/>
        <v>71435030.970037222</v>
      </c>
      <c r="R18" s="231">
        <f t="shared" si="4"/>
        <v>75006782.518539086</v>
      </c>
      <c r="S18" s="231">
        <f t="shared" si="4"/>
        <v>78757121.644466028</v>
      </c>
      <c r="T18" s="231">
        <f t="shared" si="4"/>
        <v>82694977.726689339</v>
      </c>
      <c r="U18" s="231">
        <f t="shared" si="4"/>
        <v>86829726.613023788</v>
      </c>
      <c r="V18" s="231">
        <f t="shared" si="4"/>
        <v>91171212.943674996</v>
      </c>
      <c r="W18" s="231">
        <f t="shared" si="4"/>
        <v>95729773.590858728</v>
      </c>
      <c r="X18" s="231">
        <f t="shared" si="4"/>
        <v>100516262.2704017</v>
      </c>
      <c r="Y18" s="231" t="str">
        <f t="shared" si="4"/>
        <v/>
      </c>
      <c r="Z18" s="231" t="str">
        <f t="shared" si="4"/>
        <v/>
      </c>
      <c r="AA18" s="231" t="str">
        <f t="shared" si="4"/>
        <v/>
      </c>
      <c r="AB18" s="231" t="str">
        <f t="shared" si="4"/>
        <v/>
      </c>
      <c r="AC18" s="106"/>
      <c r="AD18" s="106"/>
    </row>
    <row r="19" spans="1:30" ht="15">
      <c r="A19" s="12" t="s">
        <v>3</v>
      </c>
      <c r="B19"/>
      <c r="C19" s="201">
        <f>IF($C$13="Best Case",0.01,IF($C$13="Most Likely Case",0.0325,0.05))</f>
        <v>3.2500000000000001E-2</v>
      </c>
      <c r="E19" s="12"/>
      <c r="F19" s="12" t="s">
        <v>7</v>
      </c>
      <c r="G19" s="232">
        <f>SUM(G14:G18)</f>
        <v>146089153.60000008</v>
      </c>
      <c r="H19" s="232">
        <f>SUM(H14:H18)</f>
        <v>251107981.71825951</v>
      </c>
      <c r="I19" s="232" t="e">
        <f t="shared" ref="I19:AB19" si="5">IF(I$4&lt;=$C$25,SUM(I14:I18),"")</f>
        <v>#REF!</v>
      </c>
      <c r="J19" s="232" t="e">
        <f t="shared" si="5"/>
        <v>#REF!</v>
      </c>
      <c r="K19" s="232" t="e">
        <f t="shared" si="5"/>
        <v>#REF!</v>
      </c>
      <c r="L19" s="232" t="e">
        <f t="shared" si="5"/>
        <v>#REF!</v>
      </c>
      <c r="M19" s="232" t="e">
        <f t="shared" si="5"/>
        <v>#REF!</v>
      </c>
      <c r="N19" s="232" t="e">
        <f t="shared" si="5"/>
        <v>#REF!</v>
      </c>
      <c r="O19" s="232" t="e">
        <f t="shared" si="5"/>
        <v>#REF!</v>
      </c>
      <c r="P19" s="232" t="e">
        <f t="shared" si="5"/>
        <v>#REF!</v>
      </c>
      <c r="Q19" s="232" t="e">
        <f t="shared" si="5"/>
        <v>#REF!</v>
      </c>
      <c r="R19" s="232" t="e">
        <f t="shared" si="5"/>
        <v>#REF!</v>
      </c>
      <c r="S19" s="232" t="e">
        <f t="shared" si="5"/>
        <v>#REF!</v>
      </c>
      <c r="T19" s="232" t="e">
        <f t="shared" si="5"/>
        <v>#REF!</v>
      </c>
      <c r="U19" s="232" t="e">
        <f t="shared" si="5"/>
        <v>#REF!</v>
      </c>
      <c r="V19" s="232" t="e">
        <f t="shared" si="5"/>
        <v>#REF!</v>
      </c>
      <c r="W19" s="232" t="e">
        <f t="shared" si="5"/>
        <v>#REF!</v>
      </c>
      <c r="X19" s="232" t="e">
        <f t="shared" si="5"/>
        <v>#REF!</v>
      </c>
      <c r="Y19" s="232" t="str">
        <f t="shared" si="5"/>
        <v/>
      </c>
      <c r="Z19" s="232" t="str">
        <f t="shared" si="5"/>
        <v/>
      </c>
      <c r="AA19" s="232" t="str">
        <f t="shared" si="5"/>
        <v/>
      </c>
      <c r="AB19" s="232" t="str">
        <f t="shared" si="5"/>
        <v/>
      </c>
      <c r="AC19" s="92"/>
      <c r="AD19" s="92"/>
    </row>
    <row r="20" spans="1:30" ht="15">
      <c r="A20" s="12" t="s">
        <v>2</v>
      </c>
      <c r="B20"/>
      <c r="C20" s="201">
        <f>IF($C$13="Best Case",0.01,IF($C$13="Most Likely Case",0.0325,0.05))</f>
        <v>3.2500000000000001E-2</v>
      </c>
      <c r="E20" s="12"/>
      <c r="F20" s="12"/>
      <c r="G20" s="231"/>
      <c r="H20" s="231"/>
      <c r="I20" s="231"/>
      <c r="J20" s="231"/>
      <c r="K20" s="231"/>
      <c r="L20" s="231"/>
      <c r="M20" s="231"/>
      <c r="N20" s="231"/>
      <c r="O20" s="231"/>
      <c r="P20" s="231"/>
      <c r="Q20" s="231"/>
      <c r="R20" s="231"/>
      <c r="S20" s="231"/>
      <c r="T20" s="231"/>
      <c r="U20" s="231"/>
      <c r="V20" s="231"/>
      <c r="W20" s="231"/>
      <c r="X20" s="231"/>
      <c r="Y20" s="231"/>
      <c r="Z20" s="231"/>
      <c r="AA20" s="231"/>
      <c r="AB20" s="231"/>
      <c r="AC20" s="106"/>
      <c r="AD20" s="106"/>
    </row>
    <row r="21" spans="1:30" ht="15">
      <c r="A21" s="12" t="s">
        <v>69</v>
      </c>
      <c r="B21"/>
      <c r="C21" s="201">
        <f>IF($C$13="Best Case",0.01,IF($C$13="Most Likely Case",0.0325,0.05))</f>
        <v>3.2500000000000001E-2</v>
      </c>
      <c r="E21" s="12"/>
      <c r="F21" s="12"/>
      <c r="G21" s="231"/>
      <c r="H21" s="231"/>
      <c r="I21" s="231"/>
      <c r="J21" s="231"/>
      <c r="K21" s="231"/>
      <c r="L21" s="231"/>
      <c r="M21" s="231"/>
      <c r="N21" s="231"/>
      <c r="O21" s="231"/>
      <c r="P21" s="231"/>
      <c r="Q21" s="231"/>
      <c r="R21" s="231"/>
      <c r="S21" s="231"/>
      <c r="T21" s="231"/>
      <c r="U21" s="231"/>
      <c r="V21" s="231"/>
      <c r="W21" s="231"/>
      <c r="X21" s="231"/>
      <c r="Y21" s="231"/>
      <c r="Z21" s="231"/>
      <c r="AA21" s="231"/>
      <c r="AB21" s="231"/>
      <c r="AC21" s="93"/>
      <c r="AD21" s="93"/>
    </row>
    <row r="22" spans="1:30" ht="15">
      <c r="A22" s="12"/>
      <c r="B22"/>
      <c r="C22" s="112"/>
      <c r="E22" s="12"/>
      <c r="F22" s="94" t="s">
        <v>240</v>
      </c>
      <c r="G22" s="233">
        <f t="shared" ref="G22:AB22" si="6">IF(G$4&lt;=$C$25,G11-G19,"")</f>
        <v>29507859.829999894</v>
      </c>
      <c r="H22" s="233">
        <f t="shared" si="6"/>
        <v>35238851.687737644</v>
      </c>
      <c r="I22" s="233" t="e">
        <f>IF(I$4&lt;=$C$25,I11-I19,"")</f>
        <v>#REF!</v>
      </c>
      <c r="J22" s="233" t="e">
        <f t="shared" si="6"/>
        <v>#REF!</v>
      </c>
      <c r="K22" s="233" t="e">
        <f t="shared" si="6"/>
        <v>#REF!</v>
      </c>
      <c r="L22" s="233" t="e">
        <f t="shared" si="6"/>
        <v>#REF!</v>
      </c>
      <c r="M22" s="233" t="e">
        <f t="shared" si="6"/>
        <v>#REF!</v>
      </c>
      <c r="N22" s="233" t="e">
        <f t="shared" si="6"/>
        <v>#REF!</v>
      </c>
      <c r="O22" s="233" t="e">
        <f t="shared" si="6"/>
        <v>#REF!</v>
      </c>
      <c r="P22" s="233" t="e">
        <f t="shared" si="6"/>
        <v>#REF!</v>
      </c>
      <c r="Q22" s="233" t="e">
        <f t="shared" si="6"/>
        <v>#REF!</v>
      </c>
      <c r="R22" s="233" t="e">
        <f t="shared" si="6"/>
        <v>#REF!</v>
      </c>
      <c r="S22" s="233" t="e">
        <f t="shared" si="6"/>
        <v>#REF!</v>
      </c>
      <c r="T22" s="233" t="e">
        <f t="shared" si="6"/>
        <v>#REF!</v>
      </c>
      <c r="U22" s="233" t="e">
        <f t="shared" si="6"/>
        <v>#REF!</v>
      </c>
      <c r="V22" s="233" t="e">
        <f t="shared" si="6"/>
        <v>#REF!</v>
      </c>
      <c r="W22" s="233" t="e">
        <f t="shared" si="6"/>
        <v>#REF!</v>
      </c>
      <c r="X22" s="233" t="e">
        <f t="shared" si="6"/>
        <v>#REF!</v>
      </c>
      <c r="Y22" s="233" t="str">
        <f t="shared" si="6"/>
        <v/>
      </c>
      <c r="Z22" s="233" t="str">
        <f t="shared" si="6"/>
        <v/>
      </c>
      <c r="AA22" s="233" t="str">
        <f t="shared" si="6"/>
        <v/>
      </c>
      <c r="AB22" s="233" t="str">
        <f t="shared" si="6"/>
        <v/>
      </c>
      <c r="AC22" s="109"/>
      <c r="AD22" s="109"/>
    </row>
    <row r="23" spans="1:30" ht="15">
      <c r="A23" s="140" t="s">
        <v>100</v>
      </c>
      <c r="B23"/>
      <c r="C23" s="18"/>
      <c r="E23" s="12"/>
      <c r="F23" s="12" t="s">
        <v>183</v>
      </c>
      <c r="G23" s="226"/>
      <c r="H23" s="226"/>
      <c r="I23" s="226"/>
      <c r="J23" s="226"/>
      <c r="K23" s="226"/>
      <c r="L23" s="226"/>
      <c r="M23" s="226"/>
      <c r="N23" s="226"/>
      <c r="O23" s="226"/>
      <c r="P23" s="226"/>
      <c r="Q23" s="226"/>
      <c r="R23" s="226"/>
      <c r="S23" s="226"/>
      <c r="T23" s="226"/>
      <c r="U23" s="226"/>
      <c r="V23" s="226"/>
      <c r="W23" s="226"/>
      <c r="X23" s="226"/>
      <c r="Y23" s="226"/>
      <c r="Z23" s="226"/>
      <c r="AA23" s="226"/>
      <c r="AB23" s="226"/>
      <c r="AC23" s="97"/>
      <c r="AD23" s="97"/>
    </row>
    <row r="24" spans="1:30" ht="15">
      <c r="A24" s="105" t="s">
        <v>206</v>
      </c>
      <c r="B24"/>
      <c r="C24" s="59" t="s">
        <v>207</v>
      </c>
      <c r="E24" s="12"/>
      <c r="F24" s="90" t="s">
        <v>184</v>
      </c>
      <c r="G24" s="230">
        <v>2899.74</v>
      </c>
      <c r="H24" s="230">
        <v>79215.360000000001</v>
      </c>
      <c r="I24" s="231" t="e">
        <f>IF(I$4&lt;=$C$25,SUM($H$24,#REF!)*(1+$C$21)^I$4,"")</f>
        <v>#REF!</v>
      </c>
      <c r="J24" s="231" t="e">
        <f>IF(J$4&lt;=$C$25,SUM($H$24,#REF!)*(1+$C$21)^J$4,"")</f>
        <v>#REF!</v>
      </c>
      <c r="K24" s="231" t="e">
        <f>IF(K$4&lt;=$C$25,SUM($H$24,#REF!)*(1+$C$21)^K$4,"")</f>
        <v>#REF!</v>
      </c>
      <c r="L24" s="231" t="e">
        <f>IF(L$4&lt;=$C$25,SUM($H$24,#REF!)*(1+$C$21)^L$4,"")</f>
        <v>#REF!</v>
      </c>
      <c r="M24" s="231" t="e">
        <f>IF(M$4&lt;=$C$25,SUM($H$24,#REF!)*(1+$C$21)^M$4,"")</f>
        <v>#REF!</v>
      </c>
      <c r="N24" s="231" t="e">
        <f>IF(N$4&lt;=$C$25,SUM($H$24,#REF!)*(1+$C$21)^N$4,"")</f>
        <v>#REF!</v>
      </c>
      <c r="O24" s="231" t="e">
        <f>IF(O$4&lt;=$C$25,SUM($H$24,#REF!)*(1+$C$21)^O$4,"")</f>
        <v>#REF!</v>
      </c>
      <c r="P24" s="231" t="e">
        <f>IF(P$4&lt;=$C$25,SUM($H$24,#REF!)*(1+$C$21)^P$4,"")</f>
        <v>#REF!</v>
      </c>
      <c r="Q24" s="231" t="e">
        <f>IF(Q$4&lt;=$C$25,SUM($H$24,#REF!)*(1+$C$21)^Q$4,"")</f>
        <v>#REF!</v>
      </c>
      <c r="R24" s="231" t="e">
        <f>IF(R$4&lt;=$C$25,SUM($H$24,#REF!)*(1+$C$21)^R$4,"")</f>
        <v>#REF!</v>
      </c>
      <c r="S24" s="231" t="e">
        <f>IF(S$4&lt;=$C$25,SUM($H$24,#REF!)*(1+$C$21)^S$4,"")</f>
        <v>#REF!</v>
      </c>
      <c r="T24" s="231" t="e">
        <f>IF(T$4&lt;=$C$25,SUM($H$24,#REF!)*(1+$C$21)^T$4,"")</f>
        <v>#REF!</v>
      </c>
      <c r="U24" s="231" t="e">
        <f>IF(U$4&lt;=$C$25,SUM($H$24,#REF!)*(1+$C$21)^U$4,"")</f>
        <v>#REF!</v>
      </c>
      <c r="V24" s="231" t="e">
        <f>IF(V$4&lt;=$C$25,SUM($H$24,#REF!)*(1+$C$21)^V$4,"")</f>
        <v>#REF!</v>
      </c>
      <c r="W24" s="231" t="e">
        <f>IF(W$4&lt;=$C$25,SUM($H$24,#REF!)*(1+$C$21)^W$4,"")</f>
        <v>#REF!</v>
      </c>
      <c r="X24" s="231" t="e">
        <f>IF(X$4&lt;=$C$25,SUM($H$24,#REF!)*(1+$C$21)^X$4,"")</f>
        <v>#REF!</v>
      </c>
      <c r="Y24" s="231" t="str">
        <f>IF(Y$4&lt;=$C$25,SUM($H$24,#REF!)*(1+$C$21)^Y$4,"")</f>
        <v/>
      </c>
      <c r="Z24" s="231" t="str">
        <f>IF(Z$4&lt;=$C$25,SUM($H$24,#REF!)*(1+$C$21)^Z$4,"")</f>
        <v/>
      </c>
      <c r="AA24" s="231" t="str">
        <f>IF(AA$4&lt;=$C$25,SUM($H$24,#REF!)*(1+$C$21)^AA$4,"")</f>
        <v/>
      </c>
      <c r="AB24" s="231" t="str">
        <f>IF(AB$4&lt;=$C$25,SUM($H$24,#REF!)*(1+$C$21)^AB$4,"")</f>
        <v/>
      </c>
      <c r="AC24" s="106"/>
      <c r="AD24" s="106"/>
    </row>
    <row r="25" spans="1:30" ht="15">
      <c r="A25" s="12" t="s">
        <v>210</v>
      </c>
      <c r="B25"/>
      <c r="C25" s="62">
        <v>15</v>
      </c>
      <c r="E25" s="12"/>
      <c r="F25" s="90" t="s">
        <v>177</v>
      </c>
      <c r="G25" s="230">
        <v>18497760.761283305</v>
      </c>
      <c r="H25" s="230">
        <v>19939973.739043184</v>
      </c>
      <c r="I25" s="231">
        <f t="shared" ref="I25:AB25" si="7">IF(I$4&lt;=$C$25,$H$25*(1+$C$34)^I$4,"")</f>
        <v>19939973.739043184</v>
      </c>
      <c r="J25" s="231">
        <f t="shared" si="7"/>
        <v>20737572.68860491</v>
      </c>
      <c r="K25" s="231">
        <f t="shared" si="7"/>
        <v>21567075.596149109</v>
      </c>
      <c r="L25" s="231">
        <f t="shared" si="7"/>
        <v>22429758.619995072</v>
      </c>
      <c r="M25" s="231">
        <f t="shared" si="7"/>
        <v>23326948.964794878</v>
      </c>
      <c r="N25" s="231">
        <f t="shared" si="7"/>
        <v>24260026.923386678</v>
      </c>
      <c r="O25" s="231">
        <f t="shared" si="7"/>
        <v>25230428.000322144</v>
      </c>
      <c r="P25" s="231">
        <f t="shared" si="7"/>
        <v>26239645.120335028</v>
      </c>
      <c r="Q25" s="231">
        <f t="shared" si="7"/>
        <v>27289230.925148431</v>
      </c>
      <c r="R25" s="231">
        <f t="shared" si="7"/>
        <v>28380800.162154373</v>
      </c>
      <c r="S25" s="231">
        <f t="shared" si="7"/>
        <v>29516032.168640547</v>
      </c>
      <c r="T25" s="231">
        <f t="shared" si="7"/>
        <v>30696673.455386166</v>
      </c>
      <c r="U25" s="231">
        <f t="shared" si="7"/>
        <v>31924540.393601619</v>
      </c>
      <c r="V25" s="231">
        <f t="shared" si="7"/>
        <v>33201522.009345688</v>
      </c>
      <c r="W25" s="231">
        <f t="shared" si="7"/>
        <v>34529582.889719516</v>
      </c>
      <c r="X25" s="231">
        <f t="shared" si="7"/>
        <v>35910766.205308296</v>
      </c>
      <c r="Y25" s="231" t="str">
        <f t="shared" si="7"/>
        <v/>
      </c>
      <c r="Z25" s="231" t="str">
        <f t="shared" si="7"/>
        <v/>
      </c>
      <c r="AA25" s="231" t="str">
        <f t="shared" si="7"/>
        <v/>
      </c>
      <c r="AB25" s="231" t="str">
        <f t="shared" si="7"/>
        <v/>
      </c>
      <c r="AC25" s="106"/>
      <c r="AD25" s="106"/>
    </row>
    <row r="26" spans="1:30" ht="15">
      <c r="A26" s="12" t="s">
        <v>102</v>
      </c>
      <c r="B26"/>
      <c r="C26" s="62">
        <v>0</v>
      </c>
      <c r="E26" s="12"/>
      <c r="F26" s="12" t="s">
        <v>7</v>
      </c>
      <c r="G26" s="232">
        <f t="shared" ref="G26:AB26" si="8">IF(G$4&lt;=$C$25,SUM(G24:G25),"")</f>
        <v>18500660.501283303</v>
      </c>
      <c r="H26" s="232">
        <f t="shared" si="8"/>
        <v>20019189.099043183</v>
      </c>
      <c r="I26" s="232" t="e">
        <f t="shared" si="8"/>
        <v>#REF!</v>
      </c>
      <c r="J26" s="232" t="e">
        <f t="shared" si="8"/>
        <v>#REF!</v>
      </c>
      <c r="K26" s="232" t="e">
        <f t="shared" si="8"/>
        <v>#REF!</v>
      </c>
      <c r="L26" s="232" t="e">
        <f t="shared" si="8"/>
        <v>#REF!</v>
      </c>
      <c r="M26" s="232" t="e">
        <f t="shared" si="8"/>
        <v>#REF!</v>
      </c>
      <c r="N26" s="232" t="e">
        <f t="shared" si="8"/>
        <v>#REF!</v>
      </c>
      <c r="O26" s="232" t="e">
        <f t="shared" si="8"/>
        <v>#REF!</v>
      </c>
      <c r="P26" s="232" t="e">
        <f t="shared" si="8"/>
        <v>#REF!</v>
      </c>
      <c r="Q26" s="232" t="e">
        <f t="shared" si="8"/>
        <v>#REF!</v>
      </c>
      <c r="R26" s="232" t="e">
        <f t="shared" si="8"/>
        <v>#REF!</v>
      </c>
      <c r="S26" s="232" t="e">
        <f t="shared" si="8"/>
        <v>#REF!</v>
      </c>
      <c r="T26" s="232" t="e">
        <f t="shared" si="8"/>
        <v>#REF!</v>
      </c>
      <c r="U26" s="232" t="e">
        <f t="shared" si="8"/>
        <v>#REF!</v>
      </c>
      <c r="V26" s="232" t="e">
        <f t="shared" si="8"/>
        <v>#REF!</v>
      </c>
      <c r="W26" s="232" t="e">
        <f t="shared" si="8"/>
        <v>#REF!</v>
      </c>
      <c r="X26" s="232" t="e">
        <f t="shared" si="8"/>
        <v>#REF!</v>
      </c>
      <c r="Y26" s="232" t="str">
        <f t="shared" si="8"/>
        <v/>
      </c>
      <c r="Z26" s="232" t="str">
        <f t="shared" si="8"/>
        <v/>
      </c>
      <c r="AA26" s="232" t="str">
        <f t="shared" si="8"/>
        <v/>
      </c>
      <c r="AB26" s="232" t="str">
        <f t="shared" si="8"/>
        <v/>
      </c>
      <c r="AC26" s="92"/>
      <c r="AD26" s="92"/>
    </row>
    <row r="27" spans="1:30" ht="15">
      <c r="A27" s="12" t="s">
        <v>201</v>
      </c>
      <c r="B27"/>
      <c r="C27" s="223" t="e">
        <f>(#REF!-C26)/C25</f>
        <v>#REF!</v>
      </c>
      <c r="E27" s="12"/>
      <c r="F27" s="12"/>
      <c r="G27" s="232"/>
      <c r="H27" s="232"/>
      <c r="I27" s="232"/>
      <c r="J27" s="232"/>
      <c r="K27" s="232"/>
      <c r="L27" s="232"/>
      <c r="M27" s="232"/>
      <c r="N27" s="232"/>
      <c r="O27" s="232"/>
      <c r="P27" s="232"/>
      <c r="Q27" s="232"/>
      <c r="R27" s="232"/>
      <c r="S27" s="232"/>
      <c r="T27" s="232"/>
      <c r="U27" s="232"/>
      <c r="V27" s="232"/>
      <c r="W27" s="232"/>
      <c r="X27" s="232"/>
      <c r="Y27" s="232"/>
      <c r="Z27" s="232"/>
      <c r="AA27" s="232"/>
      <c r="AB27" s="232"/>
      <c r="AC27" s="92"/>
      <c r="AD27" s="92"/>
    </row>
    <row r="28" spans="1:30" ht="15">
      <c r="A28" s="12" t="s">
        <v>209</v>
      </c>
      <c r="B28"/>
      <c r="C28" s="62">
        <f>IF($C$13="Best Case",20,IF($C$13="Most Likely Case",15,10))</f>
        <v>15</v>
      </c>
      <c r="E28" s="12"/>
      <c r="F28" s="12" t="s">
        <v>185</v>
      </c>
      <c r="G28" s="232">
        <v>21306.75</v>
      </c>
      <c r="H28" s="232">
        <v>65901.989999999991</v>
      </c>
      <c r="I28" s="232">
        <f t="shared" ref="I28:AB28" si="9">IF(I$4&lt;=$C$25,$H$28*(1+$C$33)^I$4,"")</f>
        <v>65901.989999999991</v>
      </c>
      <c r="J28" s="232">
        <f t="shared" si="9"/>
        <v>69197.089499999987</v>
      </c>
      <c r="K28" s="232">
        <f t="shared" si="9"/>
        <v>72656.943974999987</v>
      </c>
      <c r="L28" s="232">
        <f t="shared" si="9"/>
        <v>76289.791173749996</v>
      </c>
      <c r="M28" s="232">
        <f t="shared" si="9"/>
        <v>80104.280732437488</v>
      </c>
      <c r="N28" s="232">
        <f t="shared" si="9"/>
        <v>84109.494769059369</v>
      </c>
      <c r="O28" s="232">
        <f t="shared" si="9"/>
        <v>88314.969507512331</v>
      </c>
      <c r="P28" s="232">
        <f t="shared" si="9"/>
        <v>92730.71798288796</v>
      </c>
      <c r="Q28" s="232">
        <f t="shared" si="9"/>
        <v>97367.253882032353</v>
      </c>
      <c r="R28" s="232">
        <f t="shared" si="9"/>
        <v>102235.61657613398</v>
      </c>
      <c r="S28" s="232">
        <f t="shared" si="9"/>
        <v>107347.39740494067</v>
      </c>
      <c r="T28" s="232">
        <f t="shared" si="9"/>
        <v>112714.76727518771</v>
      </c>
      <c r="U28" s="232">
        <f t="shared" si="9"/>
        <v>118350.50563894708</v>
      </c>
      <c r="V28" s="232">
        <f t="shared" si="9"/>
        <v>124268.03092089445</v>
      </c>
      <c r="W28" s="232">
        <f t="shared" si="9"/>
        <v>130481.43246693915</v>
      </c>
      <c r="X28" s="232">
        <f t="shared" si="9"/>
        <v>137005.50409028615</v>
      </c>
      <c r="Y28" s="232" t="str">
        <f t="shared" si="9"/>
        <v/>
      </c>
      <c r="Z28" s="232" t="str">
        <f t="shared" si="9"/>
        <v/>
      </c>
      <c r="AA28" s="232" t="str">
        <f t="shared" si="9"/>
        <v/>
      </c>
      <c r="AB28" s="232" t="str">
        <f t="shared" si="9"/>
        <v/>
      </c>
      <c r="AC28" s="92"/>
      <c r="AD28" s="92"/>
    </row>
    <row r="29" spans="1:30" ht="15">
      <c r="A29" s="12" t="s">
        <v>208</v>
      </c>
      <c r="B29"/>
      <c r="C29" s="144" t="e">
        <f>MAX((C25-C28)*C27,0)</f>
        <v>#REF!</v>
      </c>
      <c r="E29" s="12"/>
      <c r="F29" s="12"/>
      <c r="G29" s="232"/>
      <c r="H29" s="232"/>
      <c r="I29" s="232"/>
      <c r="J29" s="232"/>
      <c r="K29" s="232"/>
      <c r="L29" s="232"/>
      <c r="M29" s="232"/>
      <c r="N29" s="232"/>
      <c r="O29" s="232"/>
      <c r="P29" s="232"/>
      <c r="Q29" s="232"/>
      <c r="R29" s="232"/>
      <c r="S29" s="232"/>
      <c r="T29" s="232"/>
      <c r="U29" s="232"/>
      <c r="V29" s="232"/>
      <c r="W29" s="232"/>
      <c r="X29" s="232"/>
      <c r="Y29" s="232"/>
      <c r="Z29" s="232"/>
      <c r="AA29" s="232"/>
      <c r="AB29" s="232"/>
      <c r="AC29" s="92"/>
      <c r="AD29" s="92"/>
    </row>
    <row r="30" spans="1:30" ht="15">
      <c r="A30" s="12"/>
      <c r="B30" s="12"/>
      <c r="C30" s="63"/>
      <c r="E30" s="12"/>
      <c r="F30" s="98" t="s">
        <v>91</v>
      </c>
      <c r="G30" s="234">
        <f>IF(G$4&lt;=$C$25,G22-G26-G28,"")</f>
        <v>10985892.578716591</v>
      </c>
      <c r="H30" s="234">
        <f t="shared" ref="H30:AB30" si="10">IF(H$4&lt;=$C$25,H22-H26-H28,"")</f>
        <v>15153760.59869446</v>
      </c>
      <c r="I30" s="234" t="e">
        <f t="shared" si="10"/>
        <v>#REF!</v>
      </c>
      <c r="J30" s="234" t="e">
        <f t="shared" si="10"/>
        <v>#REF!</v>
      </c>
      <c r="K30" s="234" t="e">
        <f t="shared" si="10"/>
        <v>#REF!</v>
      </c>
      <c r="L30" s="234" t="e">
        <f t="shared" si="10"/>
        <v>#REF!</v>
      </c>
      <c r="M30" s="234" t="e">
        <f t="shared" si="10"/>
        <v>#REF!</v>
      </c>
      <c r="N30" s="234" t="e">
        <f t="shared" si="10"/>
        <v>#REF!</v>
      </c>
      <c r="O30" s="234" t="e">
        <f t="shared" si="10"/>
        <v>#REF!</v>
      </c>
      <c r="P30" s="234" t="e">
        <f t="shared" si="10"/>
        <v>#REF!</v>
      </c>
      <c r="Q30" s="234" t="e">
        <f t="shared" si="10"/>
        <v>#REF!</v>
      </c>
      <c r="R30" s="234" t="e">
        <f t="shared" si="10"/>
        <v>#REF!</v>
      </c>
      <c r="S30" s="234" t="e">
        <f t="shared" si="10"/>
        <v>#REF!</v>
      </c>
      <c r="T30" s="234" t="e">
        <f t="shared" si="10"/>
        <v>#REF!</v>
      </c>
      <c r="U30" s="234" t="e">
        <f t="shared" si="10"/>
        <v>#REF!</v>
      </c>
      <c r="V30" s="234" t="e">
        <f t="shared" si="10"/>
        <v>#REF!</v>
      </c>
      <c r="W30" s="234" t="e">
        <f t="shared" si="10"/>
        <v>#REF!</v>
      </c>
      <c r="X30" s="234" t="e">
        <f t="shared" si="10"/>
        <v>#REF!</v>
      </c>
      <c r="Y30" s="234" t="str">
        <f t="shared" si="10"/>
        <v/>
      </c>
      <c r="Z30" s="234" t="str">
        <f t="shared" si="10"/>
        <v/>
      </c>
      <c r="AA30" s="234" t="str">
        <f t="shared" si="10"/>
        <v/>
      </c>
      <c r="AB30" s="234" t="str">
        <f t="shared" si="10"/>
        <v/>
      </c>
      <c r="AC30" s="111"/>
      <c r="AD30" s="111"/>
    </row>
    <row r="31" spans="1:30" ht="15">
      <c r="A31" s="12"/>
      <c r="B31"/>
      <c r="C31" s="62"/>
      <c r="E31" s="12"/>
      <c r="F31" s="12"/>
      <c r="G31" s="231"/>
      <c r="H31" s="231"/>
      <c r="I31" s="231"/>
      <c r="J31" s="231"/>
      <c r="K31" s="231"/>
      <c r="L31" s="231"/>
      <c r="M31" s="231"/>
      <c r="N31" s="231"/>
      <c r="O31" s="231"/>
      <c r="P31" s="231"/>
      <c r="Q31" s="231"/>
      <c r="R31" s="231"/>
      <c r="S31" s="231"/>
      <c r="T31" s="231"/>
      <c r="U31" s="231"/>
      <c r="V31" s="231"/>
      <c r="W31" s="231"/>
      <c r="X31" s="231"/>
      <c r="Y31" s="231"/>
      <c r="Z31" s="231"/>
      <c r="AA31" s="231"/>
      <c r="AB31" s="231"/>
      <c r="AC31" s="93"/>
      <c r="AD31" s="93"/>
    </row>
    <row r="32" spans="1:30" ht="15.75" thickBot="1">
      <c r="A32" s="25" t="s">
        <v>200</v>
      </c>
      <c r="B32" s="15"/>
      <c r="C32" s="15"/>
      <c r="E32" s="12"/>
      <c r="F32" s="90" t="s">
        <v>186</v>
      </c>
      <c r="G32" s="230">
        <v>3407724.78</v>
      </c>
      <c r="H32" s="230">
        <v>3407724.78</v>
      </c>
      <c r="I32" s="231">
        <f t="shared" ref="I32:AB32" si="11">IF(I$4&lt;=$C$25,$H$32,"")</f>
        <v>3407724.78</v>
      </c>
      <c r="J32" s="231">
        <f t="shared" si="11"/>
        <v>3407724.78</v>
      </c>
      <c r="K32" s="231">
        <f t="shared" si="11"/>
        <v>3407724.78</v>
      </c>
      <c r="L32" s="231">
        <f t="shared" si="11"/>
        <v>3407724.78</v>
      </c>
      <c r="M32" s="231">
        <f t="shared" si="11"/>
        <v>3407724.78</v>
      </c>
      <c r="N32" s="231">
        <f t="shared" si="11"/>
        <v>3407724.78</v>
      </c>
      <c r="O32" s="231">
        <f t="shared" si="11"/>
        <v>3407724.78</v>
      </c>
      <c r="P32" s="231">
        <f t="shared" si="11"/>
        <v>3407724.78</v>
      </c>
      <c r="Q32" s="231">
        <f t="shared" si="11"/>
        <v>3407724.78</v>
      </c>
      <c r="R32" s="231">
        <f t="shared" si="11"/>
        <v>3407724.78</v>
      </c>
      <c r="S32" s="231">
        <f t="shared" si="11"/>
        <v>3407724.78</v>
      </c>
      <c r="T32" s="231">
        <f t="shared" si="11"/>
        <v>3407724.78</v>
      </c>
      <c r="U32" s="231">
        <f t="shared" si="11"/>
        <v>3407724.78</v>
      </c>
      <c r="V32" s="231">
        <f t="shared" si="11"/>
        <v>3407724.78</v>
      </c>
      <c r="W32" s="231">
        <f t="shared" si="11"/>
        <v>3407724.78</v>
      </c>
      <c r="X32" s="231">
        <f t="shared" si="11"/>
        <v>3407724.78</v>
      </c>
      <c r="Y32" s="231" t="str">
        <f t="shared" si="11"/>
        <v/>
      </c>
      <c r="Z32" s="231" t="str">
        <f t="shared" si="11"/>
        <v/>
      </c>
      <c r="AA32" s="231" t="str">
        <f t="shared" si="11"/>
        <v/>
      </c>
      <c r="AB32" s="231" t="str">
        <f t="shared" si="11"/>
        <v/>
      </c>
      <c r="AC32" s="106"/>
      <c r="AD32" s="106"/>
    </row>
    <row r="33" spans="1:30" ht="15">
      <c r="A33" s="105" t="s">
        <v>202</v>
      </c>
      <c r="B33"/>
      <c r="C33" s="152">
        <v>0.05</v>
      </c>
      <c r="E33" s="12"/>
      <c r="F33" s="90" t="s">
        <v>100</v>
      </c>
      <c r="G33" s="230">
        <v>403279.41</v>
      </c>
      <c r="H33" s="230">
        <v>340123.65</v>
      </c>
      <c r="I33" s="231" t="e">
        <f t="shared" ref="I33:AB33" si="12">IF(I$4&lt;=$C$25,IF(I$4&lt;=$C$28,$H$33+$C$27,$H$33),"")</f>
        <v>#REF!</v>
      </c>
      <c r="J33" s="231" t="e">
        <f t="shared" si="12"/>
        <v>#REF!</v>
      </c>
      <c r="K33" s="231" t="e">
        <f t="shared" si="12"/>
        <v>#REF!</v>
      </c>
      <c r="L33" s="231" t="e">
        <f t="shared" si="12"/>
        <v>#REF!</v>
      </c>
      <c r="M33" s="231" t="e">
        <f t="shared" si="12"/>
        <v>#REF!</v>
      </c>
      <c r="N33" s="231" t="e">
        <f t="shared" si="12"/>
        <v>#REF!</v>
      </c>
      <c r="O33" s="231" t="e">
        <f t="shared" si="12"/>
        <v>#REF!</v>
      </c>
      <c r="P33" s="231" t="e">
        <f t="shared" si="12"/>
        <v>#REF!</v>
      </c>
      <c r="Q33" s="231" t="e">
        <f t="shared" si="12"/>
        <v>#REF!</v>
      </c>
      <c r="R33" s="231" t="e">
        <f t="shared" si="12"/>
        <v>#REF!</v>
      </c>
      <c r="S33" s="231" t="e">
        <f t="shared" si="12"/>
        <v>#REF!</v>
      </c>
      <c r="T33" s="231" t="e">
        <f t="shared" si="12"/>
        <v>#REF!</v>
      </c>
      <c r="U33" s="231" t="e">
        <f t="shared" si="12"/>
        <v>#REF!</v>
      </c>
      <c r="V33" s="231" t="e">
        <f t="shared" si="12"/>
        <v>#REF!</v>
      </c>
      <c r="W33" s="231" t="e">
        <f t="shared" si="12"/>
        <v>#REF!</v>
      </c>
      <c r="X33" s="231" t="e">
        <f t="shared" si="12"/>
        <v>#REF!</v>
      </c>
      <c r="Y33" s="231" t="str">
        <f t="shared" si="12"/>
        <v/>
      </c>
      <c r="Z33" s="231" t="str">
        <f t="shared" si="12"/>
        <v/>
      </c>
      <c r="AA33" s="231" t="str">
        <f t="shared" si="12"/>
        <v/>
      </c>
      <c r="AB33" s="231" t="str">
        <f t="shared" si="12"/>
        <v/>
      </c>
      <c r="AC33" s="106"/>
      <c r="AD33" s="106"/>
    </row>
    <row r="34" spans="1:30" ht="15">
      <c r="A34" s="12" t="s">
        <v>241</v>
      </c>
      <c r="B34"/>
      <c r="C34" s="112">
        <v>0.04</v>
      </c>
      <c r="E34" s="12"/>
      <c r="F34" s="90" t="s">
        <v>216</v>
      </c>
      <c r="G34" s="230">
        <f t="shared" ref="G34:AB34" si="13">IF(G$4&lt;=$C$25,IF(G$4=$C$28,$C$29,0),"")</f>
        <v>0</v>
      </c>
      <c r="H34" s="230">
        <f t="shared" si="13"/>
        <v>0</v>
      </c>
      <c r="I34" s="231">
        <f t="shared" si="13"/>
        <v>0</v>
      </c>
      <c r="J34" s="231">
        <f t="shared" si="13"/>
        <v>0</v>
      </c>
      <c r="K34" s="231">
        <f t="shared" si="13"/>
        <v>0</v>
      </c>
      <c r="L34" s="231">
        <f t="shared" si="13"/>
        <v>0</v>
      </c>
      <c r="M34" s="231">
        <f t="shared" si="13"/>
        <v>0</v>
      </c>
      <c r="N34" s="231">
        <f t="shared" si="13"/>
        <v>0</v>
      </c>
      <c r="O34" s="231">
        <f t="shared" si="13"/>
        <v>0</v>
      </c>
      <c r="P34" s="231">
        <f t="shared" si="13"/>
        <v>0</v>
      </c>
      <c r="Q34" s="231">
        <f t="shared" si="13"/>
        <v>0</v>
      </c>
      <c r="R34" s="231">
        <f t="shared" si="13"/>
        <v>0</v>
      </c>
      <c r="S34" s="231">
        <f t="shared" si="13"/>
        <v>0</v>
      </c>
      <c r="T34" s="231">
        <f t="shared" si="13"/>
        <v>0</v>
      </c>
      <c r="U34" s="231">
        <f t="shared" si="13"/>
        <v>0</v>
      </c>
      <c r="V34" s="231">
        <f t="shared" si="13"/>
        <v>0</v>
      </c>
      <c r="W34" s="231">
        <f t="shared" si="13"/>
        <v>0</v>
      </c>
      <c r="X34" s="231" t="e">
        <f t="shared" si="13"/>
        <v>#REF!</v>
      </c>
      <c r="Y34" s="231" t="str">
        <f t="shared" si="13"/>
        <v/>
      </c>
      <c r="Z34" s="231" t="str">
        <f t="shared" si="13"/>
        <v/>
      </c>
      <c r="AA34" s="231" t="str">
        <f t="shared" si="13"/>
        <v/>
      </c>
      <c r="AB34" s="231" t="str">
        <f t="shared" si="13"/>
        <v/>
      </c>
      <c r="AC34" s="106"/>
      <c r="AD34" s="106"/>
    </row>
    <row r="35" spans="1:30" ht="15">
      <c r="A35" s="12"/>
      <c r="B35"/>
      <c r="C35" s="201"/>
      <c r="E35" s="12"/>
      <c r="F35" s="12" t="s">
        <v>7</v>
      </c>
      <c r="G35" s="232">
        <f t="shared" ref="G35:AB35" si="14">IF(G$4&lt;=$C$25,SUM(G32:G34),"")</f>
        <v>3811004.19</v>
      </c>
      <c r="H35" s="232">
        <f t="shared" si="14"/>
        <v>3747848.4299999997</v>
      </c>
      <c r="I35" s="232" t="e">
        <f t="shared" si="14"/>
        <v>#REF!</v>
      </c>
      <c r="J35" s="232" t="e">
        <f t="shared" si="14"/>
        <v>#REF!</v>
      </c>
      <c r="K35" s="232" t="e">
        <f t="shared" si="14"/>
        <v>#REF!</v>
      </c>
      <c r="L35" s="232" t="e">
        <f t="shared" si="14"/>
        <v>#REF!</v>
      </c>
      <c r="M35" s="232" t="e">
        <f t="shared" si="14"/>
        <v>#REF!</v>
      </c>
      <c r="N35" s="232" t="e">
        <f t="shared" si="14"/>
        <v>#REF!</v>
      </c>
      <c r="O35" s="232" t="e">
        <f t="shared" si="14"/>
        <v>#REF!</v>
      </c>
      <c r="P35" s="232" t="e">
        <f t="shared" si="14"/>
        <v>#REF!</v>
      </c>
      <c r="Q35" s="232" t="e">
        <f t="shared" si="14"/>
        <v>#REF!</v>
      </c>
      <c r="R35" s="232" t="e">
        <f t="shared" si="14"/>
        <v>#REF!</v>
      </c>
      <c r="S35" s="232" t="e">
        <f t="shared" si="14"/>
        <v>#REF!</v>
      </c>
      <c r="T35" s="232" t="e">
        <f t="shared" si="14"/>
        <v>#REF!</v>
      </c>
      <c r="U35" s="232" t="e">
        <f t="shared" si="14"/>
        <v>#REF!</v>
      </c>
      <c r="V35" s="232" t="e">
        <f t="shared" si="14"/>
        <v>#REF!</v>
      </c>
      <c r="W35" s="232" t="e">
        <f t="shared" si="14"/>
        <v>#REF!</v>
      </c>
      <c r="X35" s="232" t="e">
        <f t="shared" si="14"/>
        <v>#REF!</v>
      </c>
      <c r="Y35" s="232" t="str">
        <f t="shared" si="14"/>
        <v/>
      </c>
      <c r="Z35" s="232" t="str">
        <f t="shared" si="14"/>
        <v/>
      </c>
      <c r="AA35" s="232" t="str">
        <f t="shared" si="14"/>
        <v/>
      </c>
      <c r="AB35" s="232" t="str">
        <f t="shared" si="14"/>
        <v/>
      </c>
      <c r="AC35" s="92"/>
      <c r="AD35" s="92"/>
    </row>
    <row r="36" spans="1:30" ht="15">
      <c r="A36" s="104"/>
      <c r="B36"/>
      <c r="C36" s="112"/>
      <c r="E36" s="12"/>
      <c r="F36" s="12"/>
      <c r="G36" s="231"/>
      <c r="H36" s="231"/>
      <c r="I36" s="231"/>
      <c r="J36" s="231"/>
      <c r="K36" s="231"/>
      <c r="L36" s="231"/>
      <c r="M36" s="231"/>
      <c r="N36" s="231"/>
      <c r="O36" s="231"/>
      <c r="P36" s="231"/>
      <c r="Q36" s="231"/>
      <c r="R36" s="231"/>
      <c r="S36" s="231"/>
      <c r="T36" s="231"/>
      <c r="U36" s="231"/>
      <c r="V36" s="231"/>
      <c r="W36" s="231"/>
      <c r="X36" s="231"/>
      <c r="Y36" s="231"/>
      <c r="Z36" s="231"/>
      <c r="AA36" s="231"/>
      <c r="AB36" s="231"/>
      <c r="AC36" s="93"/>
      <c r="AD36" s="93"/>
    </row>
    <row r="37" spans="1:30" ht="15">
      <c r="A37" s="105" t="s">
        <v>239</v>
      </c>
      <c r="B37"/>
      <c r="C37" s="63">
        <v>0.85</v>
      </c>
      <c r="E37" s="12"/>
      <c r="F37" s="94" t="s">
        <v>97</v>
      </c>
      <c r="G37" s="233">
        <f>G30-G35</f>
        <v>7174888.3887165915</v>
      </c>
      <c r="H37" s="233">
        <f>H30-H35</f>
        <v>11405912.168694461</v>
      </c>
      <c r="I37" s="233" t="e">
        <f t="shared" ref="I37:AB37" si="15">IF(I$4&lt;=$C$25,I30-I35,"")</f>
        <v>#REF!</v>
      </c>
      <c r="J37" s="233" t="e">
        <f t="shared" si="15"/>
        <v>#REF!</v>
      </c>
      <c r="K37" s="233" t="e">
        <f t="shared" si="15"/>
        <v>#REF!</v>
      </c>
      <c r="L37" s="233" t="e">
        <f t="shared" si="15"/>
        <v>#REF!</v>
      </c>
      <c r="M37" s="233" t="e">
        <f t="shared" si="15"/>
        <v>#REF!</v>
      </c>
      <c r="N37" s="233" t="e">
        <f t="shared" si="15"/>
        <v>#REF!</v>
      </c>
      <c r="O37" s="233" t="e">
        <f t="shared" si="15"/>
        <v>#REF!</v>
      </c>
      <c r="P37" s="233" t="e">
        <f t="shared" si="15"/>
        <v>#REF!</v>
      </c>
      <c r="Q37" s="233" t="e">
        <f t="shared" si="15"/>
        <v>#REF!</v>
      </c>
      <c r="R37" s="233" t="e">
        <f t="shared" si="15"/>
        <v>#REF!</v>
      </c>
      <c r="S37" s="233" t="e">
        <f t="shared" si="15"/>
        <v>#REF!</v>
      </c>
      <c r="T37" s="233" t="e">
        <f t="shared" si="15"/>
        <v>#REF!</v>
      </c>
      <c r="U37" s="233" t="e">
        <f t="shared" si="15"/>
        <v>#REF!</v>
      </c>
      <c r="V37" s="233" t="e">
        <f t="shared" si="15"/>
        <v>#REF!</v>
      </c>
      <c r="W37" s="233" t="e">
        <f t="shared" si="15"/>
        <v>#REF!</v>
      </c>
      <c r="X37" s="233" t="e">
        <f t="shared" si="15"/>
        <v>#REF!</v>
      </c>
      <c r="Y37" s="233" t="str">
        <f t="shared" si="15"/>
        <v/>
      </c>
      <c r="Z37" s="233" t="str">
        <f t="shared" si="15"/>
        <v/>
      </c>
      <c r="AA37" s="233" t="str">
        <f t="shared" si="15"/>
        <v/>
      </c>
      <c r="AB37" s="233" t="str">
        <f t="shared" si="15"/>
        <v/>
      </c>
      <c r="AC37" s="109"/>
      <c r="AD37" s="109"/>
    </row>
    <row r="38" spans="1:30" ht="15">
      <c r="A38" s="12" t="s">
        <v>255</v>
      </c>
      <c r="B38"/>
      <c r="C38" s="221" t="e">
        <f>#REF!*C37</f>
        <v>#REF!</v>
      </c>
      <c r="E38" s="12"/>
      <c r="F38" s="12"/>
      <c r="G38" s="231"/>
      <c r="H38" s="231"/>
      <c r="I38" s="231"/>
      <c r="J38" s="231"/>
      <c r="K38" s="231"/>
      <c r="L38" s="231"/>
      <c r="M38" s="231"/>
      <c r="N38" s="231"/>
      <c r="O38" s="231"/>
      <c r="P38" s="231"/>
      <c r="Q38" s="231"/>
      <c r="R38" s="231"/>
      <c r="S38" s="231"/>
      <c r="T38" s="231"/>
      <c r="U38" s="231"/>
      <c r="V38" s="231"/>
      <c r="W38" s="231"/>
      <c r="X38" s="231"/>
      <c r="Y38" s="231"/>
      <c r="Z38" s="231"/>
      <c r="AA38" s="231"/>
      <c r="AB38" s="231"/>
      <c r="AC38" s="12"/>
      <c r="AD38" s="12"/>
    </row>
    <row r="39" spans="1:30" ht="15">
      <c r="A39" s="12"/>
      <c r="B39"/>
      <c r="C39" s="26"/>
      <c r="E39" s="12"/>
      <c r="F39" s="12" t="s">
        <v>191</v>
      </c>
      <c r="G39" s="230">
        <v>1612591.77</v>
      </c>
      <c r="H39" s="230">
        <v>626098.06999999995</v>
      </c>
      <c r="I39" s="231">
        <f>IF(I$4&lt;=$C$25,$H$39*(1+$C$33)^I$4,"")</f>
        <v>626098.06999999995</v>
      </c>
      <c r="J39" s="231">
        <f>IF(J$4&lt;=$C$25,$H$39*(1+$C$33)^J$4,"")</f>
        <v>657402.97349999996</v>
      </c>
      <c r="K39" s="231">
        <f t="shared" ref="K39:AC39" si="16">IF(K$4&lt;=$C$25,$H$39*(1+$C$33)^K$4,"")</f>
        <v>690273.12217499991</v>
      </c>
      <c r="L39" s="231">
        <f t="shared" si="16"/>
        <v>724786.77828375006</v>
      </c>
      <c r="M39" s="231">
        <f t="shared" si="16"/>
        <v>761026.11719793745</v>
      </c>
      <c r="N39" s="231">
        <f t="shared" si="16"/>
        <v>799077.42305783438</v>
      </c>
      <c r="O39" s="231">
        <f t="shared" si="16"/>
        <v>839031.29421072605</v>
      </c>
      <c r="P39" s="231">
        <f t="shared" si="16"/>
        <v>880982.85892126244</v>
      </c>
      <c r="Q39" s="231">
        <f t="shared" si="16"/>
        <v>925032.00186732551</v>
      </c>
      <c r="R39" s="231">
        <f t="shared" si="16"/>
        <v>971283.60196069186</v>
      </c>
      <c r="S39" s="231">
        <f t="shared" si="16"/>
        <v>1019847.7820587264</v>
      </c>
      <c r="T39" s="231">
        <f t="shared" si="16"/>
        <v>1070840.1711616628</v>
      </c>
      <c r="U39" s="231">
        <f t="shared" si="16"/>
        <v>1124382.1797197459</v>
      </c>
      <c r="V39" s="231">
        <f t="shared" si="16"/>
        <v>1180601.2887057334</v>
      </c>
      <c r="W39" s="231">
        <f t="shared" si="16"/>
        <v>1239631.3531410196</v>
      </c>
      <c r="X39" s="231">
        <f t="shared" si="16"/>
        <v>1301612.920798071</v>
      </c>
      <c r="Y39" s="231" t="str">
        <f t="shared" si="16"/>
        <v/>
      </c>
      <c r="Z39" s="231" t="str">
        <f t="shared" si="16"/>
        <v/>
      </c>
      <c r="AA39" s="231" t="str">
        <f t="shared" si="16"/>
        <v/>
      </c>
      <c r="AB39" s="231" t="str">
        <f t="shared" si="16"/>
        <v/>
      </c>
      <c r="AC39" s="106" t="str">
        <f t="shared" si="16"/>
        <v/>
      </c>
      <c r="AD39" s="106"/>
    </row>
    <row r="40" spans="1:30" ht="15">
      <c r="A40" s="12"/>
      <c r="B40"/>
      <c r="C40"/>
      <c r="E40" s="12"/>
      <c r="F40" s="12"/>
      <c r="G40" s="126"/>
      <c r="H40" s="126"/>
      <c r="I40" s="106"/>
      <c r="J40" s="106"/>
      <c r="K40" s="106"/>
      <c r="L40" s="106"/>
      <c r="M40" s="106"/>
      <c r="N40" s="106"/>
      <c r="O40" s="106"/>
      <c r="P40" s="106"/>
      <c r="Q40" s="106"/>
      <c r="R40" s="106"/>
      <c r="S40" s="106"/>
      <c r="T40" s="106"/>
      <c r="U40" s="106"/>
      <c r="V40" s="106"/>
      <c r="W40" s="106"/>
      <c r="X40" s="106"/>
      <c r="Y40" s="106"/>
      <c r="Z40" s="106"/>
      <c r="AA40" s="106"/>
      <c r="AB40" s="106"/>
      <c r="AC40" s="106"/>
      <c r="AD40" s="106"/>
    </row>
    <row r="41" spans="1:30">
      <c r="E41" s="137"/>
      <c r="F41" s="138" t="s">
        <v>203</v>
      </c>
      <c r="G41" s="105"/>
      <c r="H41" s="105"/>
      <c r="I41" s="105"/>
      <c r="J41" s="105"/>
      <c r="K41" s="105"/>
      <c r="L41" s="105"/>
      <c r="M41" s="105"/>
      <c r="N41" s="105"/>
      <c r="O41" s="105"/>
      <c r="P41" s="105"/>
      <c r="Q41" s="105"/>
      <c r="R41" s="105"/>
      <c r="S41" s="105"/>
      <c r="T41" s="105"/>
      <c r="U41" s="105"/>
      <c r="V41" s="105"/>
      <c r="W41" s="105"/>
      <c r="X41" s="105"/>
      <c r="Y41" s="105"/>
      <c r="Z41" s="105"/>
      <c r="AA41" s="105"/>
      <c r="AB41" s="105"/>
      <c r="AC41" s="12"/>
      <c r="AD41" s="12"/>
    </row>
    <row r="42" spans="1:30">
      <c r="E42" s="12"/>
      <c r="F42" s="12" t="s">
        <v>187</v>
      </c>
      <c r="G42" s="131">
        <f t="shared" ref="G42:AB42" si="17">IF(G$4&lt;=$C$25,G22/G11,"")</f>
        <v>0.16804306208637718</v>
      </c>
      <c r="H42" s="131">
        <f t="shared" si="17"/>
        <v>0.1230635284790253</v>
      </c>
      <c r="I42" s="127" t="e">
        <f t="shared" si="17"/>
        <v>#REF!</v>
      </c>
      <c r="J42" s="127" t="e">
        <f t="shared" si="17"/>
        <v>#REF!</v>
      </c>
      <c r="K42" s="127" t="e">
        <f t="shared" si="17"/>
        <v>#REF!</v>
      </c>
      <c r="L42" s="127" t="e">
        <f t="shared" si="17"/>
        <v>#REF!</v>
      </c>
      <c r="M42" s="127" t="e">
        <f t="shared" si="17"/>
        <v>#REF!</v>
      </c>
      <c r="N42" s="127" t="e">
        <f t="shared" si="17"/>
        <v>#REF!</v>
      </c>
      <c r="O42" s="127" t="e">
        <f t="shared" si="17"/>
        <v>#REF!</v>
      </c>
      <c r="P42" s="127" t="e">
        <f t="shared" si="17"/>
        <v>#REF!</v>
      </c>
      <c r="Q42" s="127" t="e">
        <f t="shared" si="17"/>
        <v>#REF!</v>
      </c>
      <c r="R42" s="127" t="e">
        <f t="shared" si="17"/>
        <v>#REF!</v>
      </c>
      <c r="S42" s="127" t="e">
        <f t="shared" si="17"/>
        <v>#REF!</v>
      </c>
      <c r="T42" s="127" t="e">
        <f t="shared" si="17"/>
        <v>#REF!</v>
      </c>
      <c r="U42" s="127" t="e">
        <f t="shared" si="17"/>
        <v>#REF!</v>
      </c>
      <c r="V42" s="127" t="e">
        <f t="shared" si="17"/>
        <v>#REF!</v>
      </c>
      <c r="W42" s="127" t="e">
        <f t="shared" si="17"/>
        <v>#REF!</v>
      </c>
      <c r="X42" s="127" t="e">
        <f t="shared" si="17"/>
        <v>#REF!</v>
      </c>
      <c r="Y42" s="127" t="str">
        <f t="shared" si="17"/>
        <v/>
      </c>
      <c r="Z42" s="127" t="str">
        <f t="shared" si="17"/>
        <v/>
      </c>
      <c r="AA42" s="127" t="str">
        <f t="shared" si="17"/>
        <v/>
      </c>
      <c r="AB42" s="127" t="str">
        <f t="shared" si="17"/>
        <v/>
      </c>
      <c r="AC42" s="127"/>
      <c r="AD42" s="127"/>
    </row>
    <row r="43" spans="1:30">
      <c r="E43" s="12"/>
      <c r="F43" s="12"/>
      <c r="G43" s="131"/>
      <c r="H43" s="131"/>
      <c r="I43" s="128"/>
      <c r="J43" s="128"/>
      <c r="K43" s="128"/>
      <c r="L43" s="128"/>
      <c r="M43" s="128"/>
      <c r="N43" s="128"/>
      <c r="O43" s="128"/>
      <c r="P43" s="128"/>
      <c r="Q43" s="128"/>
      <c r="R43" s="128"/>
      <c r="S43" s="128"/>
      <c r="T43" s="128"/>
      <c r="U43" s="128"/>
      <c r="V43" s="128"/>
      <c r="W43" s="128"/>
      <c r="X43" s="128"/>
      <c r="Y43" s="128"/>
      <c r="Z43" s="128"/>
      <c r="AA43" s="128"/>
      <c r="AB43" s="128"/>
      <c r="AC43" s="129"/>
      <c r="AD43" s="129"/>
    </row>
    <row r="44" spans="1:30">
      <c r="E44" s="12"/>
      <c r="F44" s="12" t="s">
        <v>188</v>
      </c>
      <c r="G44" s="131">
        <f t="shared" ref="G44:AB44" si="18">IF(G$4&lt;=$C$25,G30/G11,"")</f>
        <v>6.2563094691220414E-2</v>
      </c>
      <c r="H44" s="131">
        <f t="shared" si="18"/>
        <v>5.2920999399384612E-2</v>
      </c>
      <c r="I44" s="127" t="e">
        <f t="shared" si="18"/>
        <v>#REF!</v>
      </c>
      <c r="J44" s="127" t="e">
        <f t="shared" si="18"/>
        <v>#REF!</v>
      </c>
      <c r="K44" s="127" t="e">
        <f t="shared" si="18"/>
        <v>#REF!</v>
      </c>
      <c r="L44" s="127" t="e">
        <f t="shared" si="18"/>
        <v>#REF!</v>
      </c>
      <c r="M44" s="127" t="e">
        <f t="shared" si="18"/>
        <v>#REF!</v>
      </c>
      <c r="N44" s="127" t="e">
        <f t="shared" si="18"/>
        <v>#REF!</v>
      </c>
      <c r="O44" s="127" t="e">
        <f t="shared" si="18"/>
        <v>#REF!</v>
      </c>
      <c r="P44" s="127" t="e">
        <f t="shared" si="18"/>
        <v>#REF!</v>
      </c>
      <c r="Q44" s="127" t="e">
        <f t="shared" si="18"/>
        <v>#REF!</v>
      </c>
      <c r="R44" s="127" t="e">
        <f t="shared" si="18"/>
        <v>#REF!</v>
      </c>
      <c r="S44" s="127" t="e">
        <f t="shared" si="18"/>
        <v>#REF!</v>
      </c>
      <c r="T44" s="127" t="e">
        <f t="shared" si="18"/>
        <v>#REF!</v>
      </c>
      <c r="U44" s="127" t="e">
        <f t="shared" si="18"/>
        <v>#REF!</v>
      </c>
      <c r="V44" s="127" t="e">
        <f t="shared" si="18"/>
        <v>#REF!</v>
      </c>
      <c r="W44" s="127" t="e">
        <f t="shared" si="18"/>
        <v>#REF!</v>
      </c>
      <c r="X44" s="127" t="e">
        <f t="shared" si="18"/>
        <v>#REF!</v>
      </c>
      <c r="Y44" s="127" t="str">
        <f t="shared" si="18"/>
        <v/>
      </c>
      <c r="Z44" s="127" t="str">
        <f t="shared" si="18"/>
        <v/>
      </c>
      <c r="AA44" s="127" t="str">
        <f t="shared" si="18"/>
        <v/>
      </c>
      <c r="AB44" s="127" t="str">
        <f t="shared" si="18"/>
        <v/>
      </c>
      <c r="AC44" s="127"/>
      <c r="AD44" s="127"/>
    </row>
    <row r="45" spans="1:30">
      <c r="E45" s="12"/>
      <c r="F45" s="12"/>
      <c r="G45" s="131"/>
      <c r="H45" s="131"/>
      <c r="I45" s="128"/>
      <c r="J45" s="128"/>
      <c r="K45" s="128"/>
      <c r="L45" s="128"/>
      <c r="M45" s="128"/>
      <c r="N45" s="128"/>
      <c r="O45" s="128"/>
      <c r="P45" s="128"/>
      <c r="Q45" s="128"/>
      <c r="R45" s="128"/>
      <c r="S45" s="128"/>
      <c r="T45" s="128"/>
      <c r="U45" s="128"/>
      <c r="V45" s="128"/>
      <c r="W45" s="128"/>
      <c r="X45" s="128"/>
      <c r="Y45" s="128"/>
      <c r="Z45" s="128"/>
      <c r="AA45" s="128"/>
      <c r="AB45" s="128"/>
      <c r="AC45" s="129"/>
      <c r="AD45" s="129"/>
    </row>
    <row r="46" spans="1:30">
      <c r="E46" s="12"/>
      <c r="F46" s="12" t="s">
        <v>189</v>
      </c>
      <c r="G46" s="131">
        <f t="shared" ref="G46:AB46" si="19">IF(G$4&lt;=$C$25,G37/G11,"")</f>
        <v>4.0859968222505053E-2</v>
      </c>
      <c r="H46" s="131">
        <f t="shared" si="19"/>
        <v>3.9832506729776111E-2</v>
      </c>
      <c r="I46" s="127" t="e">
        <f t="shared" si="19"/>
        <v>#REF!</v>
      </c>
      <c r="J46" s="127" t="e">
        <f t="shared" si="19"/>
        <v>#REF!</v>
      </c>
      <c r="K46" s="127" t="e">
        <f t="shared" si="19"/>
        <v>#REF!</v>
      </c>
      <c r="L46" s="127" t="e">
        <f t="shared" si="19"/>
        <v>#REF!</v>
      </c>
      <c r="M46" s="127" t="e">
        <f t="shared" si="19"/>
        <v>#REF!</v>
      </c>
      <c r="N46" s="127" t="e">
        <f t="shared" si="19"/>
        <v>#REF!</v>
      </c>
      <c r="O46" s="127" t="e">
        <f t="shared" si="19"/>
        <v>#REF!</v>
      </c>
      <c r="P46" s="127" t="e">
        <f t="shared" si="19"/>
        <v>#REF!</v>
      </c>
      <c r="Q46" s="127" t="e">
        <f t="shared" si="19"/>
        <v>#REF!</v>
      </c>
      <c r="R46" s="127" t="e">
        <f t="shared" si="19"/>
        <v>#REF!</v>
      </c>
      <c r="S46" s="127" t="e">
        <f t="shared" si="19"/>
        <v>#REF!</v>
      </c>
      <c r="T46" s="127" t="e">
        <f t="shared" si="19"/>
        <v>#REF!</v>
      </c>
      <c r="U46" s="127" t="e">
        <f t="shared" si="19"/>
        <v>#REF!</v>
      </c>
      <c r="V46" s="127" t="e">
        <f t="shared" si="19"/>
        <v>#REF!</v>
      </c>
      <c r="W46" s="127" t="e">
        <f t="shared" si="19"/>
        <v>#REF!</v>
      </c>
      <c r="X46" s="127" t="e">
        <f t="shared" si="19"/>
        <v>#REF!</v>
      </c>
      <c r="Y46" s="127" t="str">
        <f t="shared" si="19"/>
        <v/>
      </c>
      <c r="Z46" s="127" t="str">
        <f t="shared" si="19"/>
        <v/>
      </c>
      <c r="AA46" s="127" t="str">
        <f t="shared" si="19"/>
        <v/>
      </c>
      <c r="AB46" s="127" t="str">
        <f t="shared" si="19"/>
        <v/>
      </c>
      <c r="AC46" s="127"/>
      <c r="AD46" s="127"/>
    </row>
    <row r="47" spans="1:30">
      <c r="E47" s="12"/>
      <c r="F47" s="12"/>
      <c r="G47" s="105"/>
      <c r="H47" s="105"/>
      <c r="I47" s="105"/>
      <c r="J47" s="105"/>
      <c r="K47" s="105"/>
      <c r="L47" s="105"/>
      <c r="M47" s="105"/>
      <c r="N47" s="105"/>
      <c r="O47" s="105"/>
      <c r="P47" s="105"/>
      <c r="Q47" s="105"/>
      <c r="R47" s="105"/>
      <c r="S47" s="105"/>
      <c r="T47" s="105"/>
      <c r="U47" s="105"/>
      <c r="V47" s="105"/>
      <c r="W47" s="105"/>
      <c r="X47" s="105"/>
      <c r="Y47" s="105"/>
      <c r="Z47" s="105"/>
      <c r="AA47" s="105"/>
      <c r="AB47" s="105"/>
      <c r="AC47" s="12"/>
      <c r="AD47" s="12"/>
    </row>
    <row r="48" spans="1:30">
      <c r="E48" s="12"/>
      <c r="F48" s="12" t="s">
        <v>190</v>
      </c>
      <c r="G48" s="132">
        <f t="shared" ref="G48:AB48" si="20">IF(G$4&lt;=$C$25,G37/G39,"")</f>
        <v>4.4492899704657374</v>
      </c>
      <c r="H48" s="132">
        <f t="shared" si="20"/>
        <v>18.21745300811175</v>
      </c>
      <c r="I48" s="133" t="e">
        <f t="shared" si="20"/>
        <v>#REF!</v>
      </c>
      <c r="J48" s="133" t="e">
        <f t="shared" si="20"/>
        <v>#REF!</v>
      </c>
      <c r="K48" s="133" t="e">
        <f t="shared" si="20"/>
        <v>#REF!</v>
      </c>
      <c r="L48" s="133" t="e">
        <f t="shared" si="20"/>
        <v>#REF!</v>
      </c>
      <c r="M48" s="133" t="e">
        <f t="shared" si="20"/>
        <v>#REF!</v>
      </c>
      <c r="N48" s="133" t="e">
        <f t="shared" si="20"/>
        <v>#REF!</v>
      </c>
      <c r="O48" s="133" t="e">
        <f t="shared" si="20"/>
        <v>#REF!</v>
      </c>
      <c r="P48" s="133" t="e">
        <f t="shared" si="20"/>
        <v>#REF!</v>
      </c>
      <c r="Q48" s="133" t="e">
        <f t="shared" si="20"/>
        <v>#REF!</v>
      </c>
      <c r="R48" s="133" t="e">
        <f t="shared" si="20"/>
        <v>#REF!</v>
      </c>
      <c r="S48" s="133" t="e">
        <f t="shared" si="20"/>
        <v>#REF!</v>
      </c>
      <c r="T48" s="133" t="e">
        <f t="shared" si="20"/>
        <v>#REF!</v>
      </c>
      <c r="U48" s="133" t="e">
        <f t="shared" si="20"/>
        <v>#REF!</v>
      </c>
      <c r="V48" s="133" t="e">
        <f t="shared" si="20"/>
        <v>#REF!</v>
      </c>
      <c r="W48" s="133" t="e">
        <f t="shared" si="20"/>
        <v>#REF!</v>
      </c>
      <c r="X48" s="133" t="e">
        <f t="shared" si="20"/>
        <v>#REF!</v>
      </c>
      <c r="Y48" s="133" t="str">
        <f t="shared" si="20"/>
        <v/>
      </c>
      <c r="Z48" s="133" t="str">
        <f t="shared" si="20"/>
        <v/>
      </c>
      <c r="AA48" s="133" t="str">
        <f t="shared" si="20"/>
        <v/>
      </c>
      <c r="AB48" s="133" t="str">
        <f t="shared" si="20"/>
        <v/>
      </c>
      <c r="AC48" s="12"/>
      <c r="AD48" s="12"/>
    </row>
    <row r="49" spans="5:30">
      <c r="E49" s="12"/>
      <c r="F49" s="12"/>
      <c r="G49" s="132"/>
      <c r="H49" s="132"/>
      <c r="I49" s="133"/>
      <c r="J49" s="133"/>
      <c r="K49" s="133"/>
      <c r="L49" s="133"/>
      <c r="M49" s="133"/>
      <c r="N49" s="133"/>
      <c r="O49" s="133"/>
      <c r="P49" s="133"/>
      <c r="Q49" s="133"/>
      <c r="R49" s="133"/>
      <c r="S49" s="133"/>
      <c r="T49" s="133"/>
      <c r="U49" s="133"/>
      <c r="V49" s="133"/>
      <c r="W49" s="133"/>
      <c r="X49" s="133"/>
      <c r="Y49" s="133"/>
      <c r="Z49" s="133"/>
      <c r="AA49" s="133"/>
      <c r="AB49" s="133"/>
      <c r="AC49" s="12"/>
      <c r="AD49" s="12"/>
    </row>
  </sheetData>
  <mergeCells count="2">
    <mergeCell ref="G2:H2"/>
    <mergeCell ref="I2:W2"/>
  </mergeCells>
  <dataValidations count="2">
    <dataValidation type="list" allowBlank="1" showInputMessage="1" showErrorMessage="1" sqref="C13" xr:uid="{F8B6D1BB-E4FE-43DC-AF64-8F3EF492A84A}">
      <formula1>"Best Case, Most Likely Case, Worst Case"</formula1>
    </dataValidation>
    <dataValidation type="list" allowBlank="1" showInputMessage="1" showErrorMessage="1" sqref="C17" xr:uid="{4571572E-0C29-4ACD-B8B5-AB5092EC9582}">
      <formula1>"SAT 46, CYS08, Average"</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F53CD-A924-4F8C-8A08-0E04A9B2C61D}">
  <sheetPr codeName="Sheet27">
    <tabColor rgb="FFFFFF00"/>
  </sheetPr>
  <dimension ref="A1:AC41"/>
  <sheetViews>
    <sheetView showGridLines="0" zoomScale="90" zoomScaleNormal="90" workbookViewId="0">
      <pane xSplit="6" ySplit="5" topLeftCell="G6" activePane="bottomRight" state="frozen"/>
      <selection activeCell="B22" sqref="B22:D22"/>
      <selection pane="topRight" activeCell="B22" sqref="B22:D22"/>
      <selection pane="bottomLeft" activeCell="B22" sqref="B22:D22"/>
      <selection pane="bottomRight" activeCell="I9" sqref="I9"/>
    </sheetView>
  </sheetViews>
  <sheetFormatPr defaultColWidth="9.140625" defaultRowHeight="14.25"/>
  <cols>
    <col min="1" max="1" width="19.85546875" style="13" customWidth="1"/>
    <col min="2" max="2" width="5.140625" style="13" customWidth="1"/>
    <col min="3" max="3" width="17.85546875" style="13" customWidth="1"/>
    <col min="4" max="4" width="9.140625" style="13"/>
    <col min="5" max="5" width="2.85546875" style="13" customWidth="1"/>
    <col min="6" max="6" width="36.140625" style="13" customWidth="1"/>
    <col min="7" max="28" width="10.140625" style="13" customWidth="1"/>
    <col min="29" max="29" width="14.7109375" style="13" bestFit="1" customWidth="1"/>
    <col min="30" max="16384" width="9.140625" style="13"/>
  </cols>
  <sheetData>
    <row r="1" spans="1:29" s="3" customFormat="1" ht="32.25">
      <c r="A1" s="1"/>
      <c r="B1" s="2"/>
      <c r="C1" s="2"/>
      <c r="D1" s="13"/>
      <c r="E1" s="1" t="s">
        <v>321</v>
      </c>
      <c r="F1" s="2"/>
      <c r="G1" s="2"/>
      <c r="H1" s="2"/>
      <c r="I1" s="2"/>
      <c r="J1" s="2"/>
      <c r="K1" s="2"/>
      <c r="L1" s="2"/>
      <c r="M1" s="2"/>
      <c r="N1" s="2"/>
      <c r="O1" s="2"/>
      <c r="P1" s="2"/>
      <c r="Q1" s="2"/>
      <c r="R1" s="2"/>
      <c r="S1" s="2"/>
      <c r="T1" s="2"/>
      <c r="U1" s="2"/>
      <c r="V1" s="2"/>
      <c r="W1" s="2"/>
      <c r="X1" s="2"/>
      <c r="Y1" s="2"/>
      <c r="Z1" s="2"/>
      <c r="AA1" s="2"/>
      <c r="AB1" s="2"/>
      <c r="AC1" s="2"/>
    </row>
    <row r="2" spans="1:29" s="3" customFormat="1" ht="23.25">
      <c r="A2" s="10" t="s">
        <v>10</v>
      </c>
      <c r="B2" s="2"/>
      <c r="C2" s="2"/>
      <c r="D2" s="13"/>
      <c r="E2" s="4"/>
      <c r="F2" s="155" t="s">
        <v>341</v>
      </c>
      <c r="G2" s="368" t="s">
        <v>179</v>
      </c>
      <c r="H2" s="368"/>
      <c r="I2" s="368"/>
      <c r="J2" s="368"/>
      <c r="K2" s="368"/>
      <c r="L2" s="368"/>
      <c r="M2" s="368"/>
      <c r="N2" s="368"/>
      <c r="O2" s="368"/>
      <c r="P2" s="368"/>
      <c r="Q2" s="368"/>
      <c r="R2" s="368"/>
      <c r="S2" s="368"/>
      <c r="T2" s="368"/>
      <c r="U2" s="368"/>
      <c r="V2" s="368"/>
      <c r="W2" s="2"/>
      <c r="X2" s="2"/>
      <c r="Y2" s="2"/>
      <c r="Z2" s="2"/>
      <c r="AA2" s="2"/>
      <c r="AB2" s="2"/>
      <c r="AC2" s="2"/>
    </row>
    <row r="3" spans="1:29" ht="24" thickBot="1">
      <c r="A3" s="25" t="s">
        <v>22</v>
      </c>
      <c r="B3" s="15"/>
      <c r="C3" s="15"/>
      <c r="E3" s="89"/>
      <c r="F3" s="12"/>
      <c r="G3" s="12"/>
      <c r="H3" s="12"/>
      <c r="I3" s="12"/>
      <c r="J3" s="12"/>
      <c r="K3" s="12"/>
      <c r="L3" s="12"/>
      <c r="M3" s="12"/>
      <c r="N3" s="12"/>
      <c r="O3" s="12"/>
      <c r="P3" s="12"/>
      <c r="Q3" s="12"/>
      <c r="R3" s="12"/>
      <c r="S3" s="12"/>
      <c r="T3" s="12"/>
      <c r="U3" s="12"/>
      <c r="V3" s="12"/>
      <c r="W3" s="12"/>
      <c r="X3" s="12"/>
      <c r="Y3" s="12"/>
      <c r="Z3" s="12"/>
      <c r="AA3" s="12"/>
      <c r="AB3" s="12"/>
      <c r="AC3" s="12"/>
    </row>
    <row r="4" spans="1:29" ht="15">
      <c r="A4" s="12" t="s">
        <v>242</v>
      </c>
      <c r="B4"/>
      <c r="C4" s="62" t="e">
        <f>HLOOKUP($C$12,#REF!,3,FALSE)</f>
        <v>#REF!</v>
      </c>
      <c r="E4" s="12"/>
      <c r="F4" s="114" t="s">
        <v>27</v>
      </c>
      <c r="G4" s="102">
        <v>1</v>
      </c>
      <c r="H4" s="102">
        <v>1</v>
      </c>
      <c r="I4" s="102">
        <v>2</v>
      </c>
      <c r="J4" s="102">
        <v>3</v>
      </c>
      <c r="K4" s="102">
        <v>4</v>
      </c>
      <c r="L4" s="102">
        <v>5</v>
      </c>
      <c r="M4" s="102">
        <v>6</v>
      </c>
      <c r="N4" s="102">
        <v>7</v>
      </c>
      <c r="O4" s="102">
        <v>8</v>
      </c>
      <c r="P4" s="102">
        <v>9</v>
      </c>
      <c r="Q4" s="102">
        <v>10</v>
      </c>
      <c r="R4" s="102">
        <v>11</v>
      </c>
      <c r="S4" s="102">
        <v>12</v>
      </c>
      <c r="T4" s="102">
        <v>13</v>
      </c>
      <c r="U4" s="102">
        <v>14</v>
      </c>
      <c r="V4" s="102">
        <v>15</v>
      </c>
      <c r="W4" s="102">
        <v>16</v>
      </c>
      <c r="X4" s="102">
        <v>17</v>
      </c>
      <c r="Y4" s="102">
        <v>18</v>
      </c>
      <c r="Z4" s="102">
        <v>19</v>
      </c>
      <c r="AA4" s="102">
        <v>20</v>
      </c>
      <c r="AB4" s="102">
        <v>21</v>
      </c>
      <c r="AC4" s="102"/>
    </row>
    <row r="5" spans="1:29" ht="15.75" thickBot="1">
      <c r="A5" s="12" t="s">
        <v>243</v>
      </c>
      <c r="B5"/>
      <c r="C5" s="62">
        <v>0</v>
      </c>
      <c r="E5" s="12"/>
      <c r="F5" s="15"/>
      <c r="G5" s="125">
        <v>2023</v>
      </c>
      <c r="H5" s="125">
        <v>2023</v>
      </c>
      <c r="I5" s="125">
        <v>2024</v>
      </c>
      <c r="J5" s="125">
        <v>2025</v>
      </c>
      <c r="K5" s="125">
        <v>2026</v>
      </c>
      <c r="L5" s="125">
        <v>2027</v>
      </c>
      <c r="M5" s="125">
        <v>2028</v>
      </c>
      <c r="N5" s="125">
        <v>2029</v>
      </c>
      <c r="O5" s="125">
        <v>2030</v>
      </c>
      <c r="P5" s="125">
        <v>2031</v>
      </c>
      <c r="Q5" s="125">
        <v>2032</v>
      </c>
      <c r="R5" s="125">
        <v>2033</v>
      </c>
      <c r="S5" s="125">
        <v>2034</v>
      </c>
      <c r="T5" s="125">
        <v>2035</v>
      </c>
      <c r="U5" s="125">
        <v>2036</v>
      </c>
      <c r="V5" s="125">
        <v>2037</v>
      </c>
      <c r="W5" s="125">
        <v>2038</v>
      </c>
      <c r="X5" s="125">
        <v>2039</v>
      </c>
      <c r="Y5" s="125">
        <v>2040</v>
      </c>
      <c r="Z5" s="125">
        <v>2041</v>
      </c>
      <c r="AA5" s="125">
        <v>2042</v>
      </c>
      <c r="AB5" s="125">
        <v>2041</v>
      </c>
      <c r="AC5" s="125"/>
    </row>
    <row r="6" spans="1:29" ht="15">
      <c r="A6"/>
      <c r="B6"/>
      <c r="C6" s="62"/>
      <c r="E6" s="12"/>
      <c r="F6" s="12"/>
      <c r="G6" s="105"/>
      <c r="H6" s="105"/>
      <c r="I6" s="105"/>
      <c r="J6" s="105"/>
      <c r="K6" s="12"/>
      <c r="L6" s="12"/>
      <c r="M6" s="12"/>
      <c r="N6" s="12"/>
      <c r="O6" s="12"/>
      <c r="P6" s="12"/>
      <c r="Q6" s="12"/>
      <c r="R6" s="12"/>
      <c r="S6" s="12"/>
      <c r="T6" s="12"/>
      <c r="U6" s="12"/>
      <c r="V6" s="12"/>
      <c r="W6" s="12"/>
      <c r="X6" s="12"/>
      <c r="Y6" s="12"/>
      <c r="Z6" s="12"/>
      <c r="AA6" s="12"/>
      <c r="AB6" s="12"/>
      <c r="AC6" s="12"/>
    </row>
    <row r="7" spans="1:29" ht="15">
      <c r="A7" s="140" t="s">
        <v>72</v>
      </c>
      <c r="B7" s="151"/>
      <c r="C7" s="62"/>
      <c r="E7" s="12"/>
      <c r="F7" s="12" t="s">
        <v>89</v>
      </c>
      <c r="G7" s="105"/>
      <c r="H7" s="105"/>
      <c r="I7" s="105"/>
      <c r="J7" s="105"/>
      <c r="K7" s="12"/>
      <c r="L7" s="12"/>
      <c r="M7" s="12"/>
      <c r="N7" s="12"/>
      <c r="O7" s="12"/>
      <c r="P7" s="12"/>
      <c r="Q7" s="12"/>
      <c r="R7" s="12"/>
      <c r="S7" s="12"/>
      <c r="T7" s="12"/>
      <c r="U7" s="12"/>
      <c r="V7" s="12"/>
      <c r="W7" s="12"/>
      <c r="X7" s="12"/>
      <c r="Y7" s="12"/>
      <c r="Z7" s="12"/>
      <c r="AA7" s="12"/>
      <c r="AB7" s="12"/>
      <c r="AC7" s="12"/>
    </row>
    <row r="8" spans="1:29" ht="15">
      <c r="A8" s="12" t="s">
        <v>253</v>
      </c>
      <c r="B8"/>
      <c r="C8" s="202" t="e">
        <f>'Cash Flow Old'!C8</f>
        <v>#REF!</v>
      </c>
      <c r="E8" s="12"/>
      <c r="F8" s="90" t="s">
        <v>176</v>
      </c>
      <c r="G8" s="231" t="e">
        <f>IF(G$4&lt;=$C$32,-#REF!*(1+$C$21)^G$4,"")</f>
        <v>#REF!</v>
      </c>
      <c r="H8" s="231" t="e">
        <f>G8*$C$40</f>
        <v>#REF!</v>
      </c>
      <c r="I8" s="231" t="e">
        <f>IF(I$4&lt;=$C$32,-#REF!*(1+$C$21)^I$4,"")</f>
        <v>#REF!</v>
      </c>
      <c r="J8" s="231" t="e">
        <f>IF(J$4&lt;=$C$32,-#REF!*(1+$C$21)^J$4,"")</f>
        <v>#REF!</v>
      </c>
      <c r="K8" s="231" t="e">
        <f>IF(K$4&lt;=$C$32,-#REF!*(1+$C$21)^K$4,"")</f>
        <v>#REF!</v>
      </c>
      <c r="L8" s="231" t="e">
        <f>IF(L$4&lt;=$C$32,-#REF!*(1+$C$21)^L$4,"")</f>
        <v>#REF!</v>
      </c>
      <c r="M8" s="231" t="e">
        <f>IF(M$4&lt;=$C$32,-#REF!*(1+$C$21)^M$4,"")</f>
        <v>#REF!</v>
      </c>
      <c r="N8" s="231" t="e">
        <f>IF(N$4&lt;=$C$32,-#REF!*(1+$C$21)^N$4,"")</f>
        <v>#REF!</v>
      </c>
      <c r="O8" s="231" t="e">
        <f>IF(O$4&lt;=$C$32,-#REF!*(1+$C$21)^O$4,"")</f>
        <v>#REF!</v>
      </c>
      <c r="P8" s="231" t="e">
        <f>IF(P$4&lt;=$C$32,-#REF!*(1+$C$21)^P$4,"")</f>
        <v>#REF!</v>
      </c>
      <c r="Q8" s="231" t="e">
        <f>IF(Q$4&lt;=$C$32,-#REF!*(1+$C$21)^Q$4,"")</f>
        <v>#REF!</v>
      </c>
      <c r="R8" s="231" t="e">
        <f>IF(R$4&lt;=$C$32,-#REF!*(1+$C$21)^R$4,"")</f>
        <v>#REF!</v>
      </c>
      <c r="S8" s="231" t="e">
        <f>IF(S$4&lt;=$C$32,-#REF!*(1+$C$21)^S$4,"")</f>
        <v>#REF!</v>
      </c>
      <c r="T8" s="231" t="e">
        <f>IF(T$4&lt;=$C$32,-#REF!*(1+$C$21)^T$4,"")</f>
        <v>#REF!</v>
      </c>
      <c r="U8" s="231" t="e">
        <f>IF(U$4&lt;=$C$32,-#REF!*(1+$C$21)^U$4,"")</f>
        <v>#REF!</v>
      </c>
      <c r="V8" s="231" t="e">
        <f>IF(V$4&lt;=$C$32,-#REF!*(1+$C$21)^V$4,"")</f>
        <v>#REF!</v>
      </c>
      <c r="W8" s="231" t="e">
        <f>IF(W$4&lt;=$C$32,-#REF!*(1+$C$21)^W$4,"")</f>
        <v>#REF!</v>
      </c>
      <c r="X8" s="231" t="e">
        <f>IF(X$4&lt;=$C$32,-#REF!*(1+$C$21)^X$4,"")</f>
        <v>#REF!</v>
      </c>
      <c r="Y8" s="231" t="e">
        <f>IF(Y$4&lt;=$C$32,-#REF!*(1+$C$21)^Y$4,"")</f>
        <v>#REF!</v>
      </c>
      <c r="Z8" s="231" t="e">
        <f>IF(Z$4&lt;=$C$32,-#REF!*(1+$C$21)^Z$4,"")</f>
        <v>#REF!</v>
      </c>
      <c r="AA8" s="231" t="e">
        <f>IF(AA$4&lt;=$C$32,-#REF!*(1+$C$21)^AA$4,"")</f>
        <v>#REF!</v>
      </c>
      <c r="AB8" s="231" t="e">
        <f>IF(AB$4&lt;=$C$32,-#REF!*(1+$C$21)^AB$4,"")</f>
        <v>#REF!</v>
      </c>
      <c r="AC8" s="106"/>
    </row>
    <row r="9" spans="1:29" ht="15">
      <c r="A9" s="12" t="s">
        <v>254</v>
      </c>
      <c r="B9"/>
      <c r="C9" s="202" t="e">
        <f>'Cash Flow Old'!C9</f>
        <v>#REF!</v>
      </c>
      <c r="E9" s="12"/>
      <c r="F9" s="90" t="s">
        <v>322</v>
      </c>
      <c r="G9" s="231" t="e">
        <f>G15</f>
        <v>#REF!</v>
      </c>
      <c r="H9" s="231" t="e">
        <f t="shared" ref="H9:H32" si="0">G9*$C$40</f>
        <v>#REF!</v>
      </c>
      <c r="I9" s="231" t="e">
        <f t="shared" ref="I9:AB9" si="1">I15</f>
        <v>#REF!</v>
      </c>
      <c r="J9" s="231" t="e">
        <f t="shared" si="1"/>
        <v>#REF!</v>
      </c>
      <c r="K9" s="231" t="e">
        <f t="shared" si="1"/>
        <v>#REF!</v>
      </c>
      <c r="L9" s="231" t="e">
        <f t="shared" si="1"/>
        <v>#REF!</v>
      </c>
      <c r="M9" s="231" t="e">
        <f t="shared" si="1"/>
        <v>#REF!</v>
      </c>
      <c r="N9" s="231" t="e">
        <f t="shared" si="1"/>
        <v>#REF!</v>
      </c>
      <c r="O9" s="231" t="e">
        <f t="shared" si="1"/>
        <v>#REF!</v>
      </c>
      <c r="P9" s="231" t="e">
        <f t="shared" si="1"/>
        <v>#REF!</v>
      </c>
      <c r="Q9" s="231" t="e">
        <f t="shared" si="1"/>
        <v>#REF!</v>
      </c>
      <c r="R9" s="231" t="e">
        <f t="shared" si="1"/>
        <v>#REF!</v>
      </c>
      <c r="S9" s="231" t="e">
        <f t="shared" si="1"/>
        <v>#REF!</v>
      </c>
      <c r="T9" s="231" t="e">
        <f t="shared" si="1"/>
        <v>#REF!</v>
      </c>
      <c r="U9" s="231" t="e">
        <f t="shared" si="1"/>
        <v>#REF!</v>
      </c>
      <c r="V9" s="231" t="e">
        <f t="shared" si="1"/>
        <v>#REF!</v>
      </c>
      <c r="W9" s="231" t="e">
        <f t="shared" si="1"/>
        <v>#REF!</v>
      </c>
      <c r="X9" s="231" t="e">
        <f t="shared" si="1"/>
        <v>#REF!</v>
      </c>
      <c r="Y9" s="231" t="e">
        <f t="shared" si="1"/>
        <v>#REF!</v>
      </c>
      <c r="Z9" s="231" t="e">
        <f t="shared" si="1"/>
        <v>#REF!</v>
      </c>
      <c r="AA9" s="231" t="e">
        <f t="shared" si="1"/>
        <v>#REF!</v>
      </c>
      <c r="AB9" s="231" t="e">
        <f t="shared" si="1"/>
        <v>#REF!</v>
      </c>
      <c r="AC9" s="106"/>
    </row>
    <row r="10" spans="1:29" ht="15">
      <c r="A10" s="12"/>
      <c r="B10"/>
      <c r="C10" s="26"/>
      <c r="E10" s="12"/>
      <c r="F10" s="12" t="s">
        <v>7</v>
      </c>
      <c r="G10" s="232" t="e">
        <f>IF(G$4&lt;=$C$32,SUM(G8:G9),"")</f>
        <v>#REF!</v>
      </c>
      <c r="H10" s="232" t="e">
        <f t="shared" si="0"/>
        <v>#REF!</v>
      </c>
      <c r="I10" s="232" t="e">
        <f t="shared" ref="I10:AB10" si="2">IF(I$4&lt;=$C$32,SUM(I8:I9),"")</f>
        <v>#REF!</v>
      </c>
      <c r="J10" s="232" t="e">
        <f t="shared" si="2"/>
        <v>#REF!</v>
      </c>
      <c r="K10" s="232" t="e">
        <f t="shared" si="2"/>
        <v>#REF!</v>
      </c>
      <c r="L10" s="232" t="e">
        <f t="shared" si="2"/>
        <v>#REF!</v>
      </c>
      <c r="M10" s="232" t="e">
        <f t="shared" si="2"/>
        <v>#REF!</v>
      </c>
      <c r="N10" s="232" t="e">
        <f t="shared" si="2"/>
        <v>#REF!</v>
      </c>
      <c r="O10" s="232" t="e">
        <f t="shared" si="2"/>
        <v>#REF!</v>
      </c>
      <c r="P10" s="232" t="e">
        <f t="shared" si="2"/>
        <v>#REF!</v>
      </c>
      <c r="Q10" s="232" t="e">
        <f t="shared" si="2"/>
        <v>#REF!</v>
      </c>
      <c r="R10" s="232" t="e">
        <f t="shared" si="2"/>
        <v>#REF!</v>
      </c>
      <c r="S10" s="232" t="e">
        <f t="shared" si="2"/>
        <v>#REF!</v>
      </c>
      <c r="T10" s="232" t="e">
        <f t="shared" si="2"/>
        <v>#REF!</v>
      </c>
      <c r="U10" s="232" t="e">
        <f t="shared" si="2"/>
        <v>#REF!</v>
      </c>
      <c r="V10" s="232" t="e">
        <f t="shared" si="2"/>
        <v>#REF!</v>
      </c>
      <c r="W10" s="232" t="e">
        <f t="shared" si="2"/>
        <v>#REF!</v>
      </c>
      <c r="X10" s="232" t="e">
        <f t="shared" si="2"/>
        <v>#REF!</v>
      </c>
      <c r="Y10" s="232" t="e">
        <f t="shared" si="2"/>
        <v>#REF!</v>
      </c>
      <c r="Z10" s="232" t="e">
        <f t="shared" si="2"/>
        <v>#REF!</v>
      </c>
      <c r="AA10" s="232" t="e">
        <f t="shared" si="2"/>
        <v>#REF!</v>
      </c>
      <c r="AB10" s="232" t="e">
        <f t="shared" si="2"/>
        <v>#REF!</v>
      </c>
      <c r="AC10" s="232"/>
    </row>
    <row r="11" spans="1:29" ht="15.75" thickBot="1">
      <c r="A11" s="25" t="s">
        <v>196</v>
      </c>
      <c r="B11" s="15"/>
      <c r="C11" s="15"/>
      <c r="E11" s="12"/>
      <c r="F11" s="12"/>
      <c r="G11" s="231"/>
      <c r="H11" s="231"/>
      <c r="I11" s="231"/>
      <c r="J11" s="231"/>
      <c r="K11" s="231"/>
      <c r="L11" s="231"/>
      <c r="M11" s="231"/>
      <c r="N11" s="231"/>
      <c r="O11" s="231"/>
      <c r="P11" s="231"/>
      <c r="Q11" s="231"/>
      <c r="R11" s="231"/>
      <c r="S11" s="231"/>
      <c r="T11" s="231"/>
      <c r="U11" s="231"/>
      <c r="V11" s="231"/>
      <c r="W11" s="231"/>
      <c r="X11" s="231"/>
      <c r="Y11" s="231"/>
      <c r="Z11" s="231"/>
      <c r="AA11" s="231"/>
      <c r="AB11" s="231"/>
      <c r="AC11" s="106"/>
    </row>
    <row r="12" spans="1:29" ht="15">
      <c r="A12" s="105" t="s">
        <v>217</v>
      </c>
      <c r="B12"/>
      <c r="C12" s="203" t="s">
        <v>218</v>
      </c>
      <c r="E12" s="12"/>
      <c r="F12" s="12" t="s">
        <v>94</v>
      </c>
      <c r="G12" s="231"/>
      <c r="H12" s="231"/>
      <c r="I12" s="231"/>
      <c r="J12" s="231"/>
      <c r="K12" s="231"/>
      <c r="L12" s="231"/>
      <c r="M12" s="231"/>
      <c r="N12" s="231"/>
      <c r="O12" s="231"/>
      <c r="P12" s="231"/>
      <c r="Q12" s="231"/>
      <c r="R12" s="231"/>
      <c r="S12" s="231"/>
      <c r="T12" s="231"/>
      <c r="U12" s="231"/>
      <c r="V12" s="231"/>
      <c r="W12" s="231"/>
      <c r="X12" s="231"/>
      <c r="Y12" s="231"/>
      <c r="Z12" s="231"/>
      <c r="AA12" s="231"/>
      <c r="AB12" s="231"/>
      <c r="AC12" s="107"/>
    </row>
    <row r="13" spans="1:29">
      <c r="A13" s="105" t="s">
        <v>342</v>
      </c>
      <c r="B13" s="105"/>
      <c r="C13" s="63" t="e">
        <f>INDEX(#REF!,MATCH(A13,#REF!,0),MATCH($C$12,#REF!,0))</f>
        <v>#REF!</v>
      </c>
      <c r="E13" s="12"/>
      <c r="F13" s="90" t="s">
        <v>182</v>
      </c>
      <c r="G13" s="231" t="e">
        <f>IF(G$4&lt;=$C$32,(-#REF!)*(1+$C$21)^G$4,"")</f>
        <v>#REF!</v>
      </c>
      <c r="H13" s="231" t="e">
        <f>G13*$C$40</f>
        <v>#REF!</v>
      </c>
      <c r="I13" s="231" t="e">
        <f>IF(I$4&lt;=$C$32,(-#REF!)*(1+$C$21)^I$4,"")</f>
        <v>#REF!</v>
      </c>
      <c r="J13" s="231" t="e">
        <f>IF(J$4&lt;=$C$32,(-#REF!)*(1+$C$21)^J$4,"")</f>
        <v>#REF!</v>
      </c>
      <c r="K13" s="231" t="e">
        <f>IF(K$4&lt;=$C$32,(-#REF!)*(1+$C$21)^K$4,"")</f>
        <v>#REF!</v>
      </c>
      <c r="L13" s="231" t="e">
        <f>IF(L$4&lt;=$C$32,(-#REF!)*(1+$C$21)^L$4,"")</f>
        <v>#REF!</v>
      </c>
      <c r="M13" s="231" t="e">
        <f>IF(M$4&lt;=$C$32,(-#REF!)*(1+$C$21)^M$4,"")</f>
        <v>#REF!</v>
      </c>
      <c r="N13" s="231" t="e">
        <f>IF(N$4&lt;=$C$32,(-#REF!)*(1+$C$21)^N$4,"")</f>
        <v>#REF!</v>
      </c>
      <c r="O13" s="231" t="e">
        <f>IF(O$4&lt;=$C$32,(-#REF!)*(1+$C$21)^O$4,"")</f>
        <v>#REF!</v>
      </c>
      <c r="P13" s="231" t="e">
        <f>IF(P$4&lt;=$C$32,(-#REF!)*(1+$C$21)^P$4,"")</f>
        <v>#REF!</v>
      </c>
      <c r="Q13" s="231" t="e">
        <f>IF(Q$4&lt;=$C$32,(-#REF!)*(1+$C$21)^Q$4,"")</f>
        <v>#REF!</v>
      </c>
      <c r="R13" s="231" t="e">
        <f>IF(R$4&lt;=$C$32,(-#REF!)*(1+$C$21)^R$4,"")</f>
        <v>#REF!</v>
      </c>
      <c r="S13" s="231" t="e">
        <f>IF(S$4&lt;=$C$32,(-#REF!)*(1+$C$21)^S$4,"")</f>
        <v>#REF!</v>
      </c>
      <c r="T13" s="231" t="e">
        <f>IF(T$4&lt;=$C$32,(-#REF!)*(1+$C$21)^T$4,"")</f>
        <v>#REF!</v>
      </c>
      <c r="U13" s="231" t="e">
        <f>IF(U$4&lt;=$C$32,(-#REF!)*(1+$C$21)^U$4,"")</f>
        <v>#REF!</v>
      </c>
      <c r="V13" s="231" t="e">
        <f>IF(V$4&lt;=$C$32,(-#REF!)*(1+$C$21)^V$4,"")</f>
        <v>#REF!</v>
      </c>
      <c r="W13" s="231" t="e">
        <f>IF(W$4&lt;=$C$32,(-#REF!)*(1+$C$21)^W$4,"")</f>
        <v>#REF!</v>
      </c>
      <c r="X13" s="231" t="e">
        <f>IF(X$4&lt;=$C$32,(-#REF!)*(1+$C$21)^X$4,"")</f>
        <v>#REF!</v>
      </c>
      <c r="Y13" s="231" t="e">
        <f>IF(Y$4&lt;=$C$32,(-#REF!)*(1+$C$21)^Y$4,"")</f>
        <v>#REF!</v>
      </c>
      <c r="Z13" s="231" t="e">
        <f>IF(Z$4&lt;=$C$32,(-#REF!)*(1+$C$21)^Z$4,"")</f>
        <v>#REF!</v>
      </c>
      <c r="AA13" s="231" t="e">
        <f>IF(AA$4&lt;=$C$32,(-#REF!)*(1+$C$21)^AA$4,"")</f>
        <v>#REF!</v>
      </c>
      <c r="AB13" s="231" t="e">
        <f>IF(AB$4&lt;=$C$32,(-#REF!)*(1+$C$21)^AB$4,"")</f>
        <v>#REF!</v>
      </c>
      <c r="AC13" s="231"/>
    </row>
    <row r="14" spans="1:29">
      <c r="A14" s="105"/>
      <c r="B14" s="105"/>
      <c r="C14" s="221"/>
      <c r="E14" s="12"/>
      <c r="F14" s="90" t="s">
        <v>349</v>
      </c>
      <c r="G14" s="231" t="e">
        <f>IF(G$4&lt;=$C$32,(#REF!)*(1+$C$25)^G$4,"")</f>
        <v>#REF!</v>
      </c>
      <c r="H14" s="231" t="e">
        <f t="shared" si="0"/>
        <v>#REF!</v>
      </c>
      <c r="I14" s="231" t="e">
        <f>IF(I$4&lt;=$C$32,(#REF!)*(1+$C$25)^I$4,"")</f>
        <v>#REF!</v>
      </c>
      <c r="J14" s="231" t="e">
        <f>IF(J$4&lt;=$C$32,(#REF!)*(1+$C$25)^J$4,"")</f>
        <v>#REF!</v>
      </c>
      <c r="K14" s="231" t="e">
        <f>IF(K$4&lt;=$C$32,(#REF!)*(1+$C$25)^K$4,"")</f>
        <v>#REF!</v>
      </c>
      <c r="L14" s="231" t="e">
        <f>IF(L$4&lt;=$C$32,(#REF!)*(1+$C$25)^L$4,"")</f>
        <v>#REF!</v>
      </c>
      <c r="M14" s="231" t="e">
        <f>IF(M$4&lt;=$C$32,(#REF!)*(1+$C$25)^M$4,"")</f>
        <v>#REF!</v>
      </c>
      <c r="N14" s="231" t="e">
        <f>IF(N$4&lt;=$C$32,(#REF!)*(1+$C$25)^N$4,"")</f>
        <v>#REF!</v>
      </c>
      <c r="O14" s="231" t="e">
        <f>IF(O$4&lt;=$C$32,(#REF!)*(1+$C$25)^O$4,"")</f>
        <v>#REF!</v>
      </c>
      <c r="P14" s="231" t="e">
        <f>IF(P$4&lt;=$C$32,(#REF!)*(1+$C$25)^P$4,"")</f>
        <v>#REF!</v>
      </c>
      <c r="Q14" s="231" t="e">
        <f>IF(Q$4&lt;=$C$32,(#REF!)*(1+$C$25)^Q$4,"")</f>
        <v>#REF!</v>
      </c>
      <c r="R14" s="231" t="e">
        <f>IF(R$4&lt;=$C$32,(#REF!)*(1+$C$25)^R$4,"")</f>
        <v>#REF!</v>
      </c>
      <c r="S14" s="231" t="e">
        <f>IF(S$4&lt;=$C$32,(#REF!)*(1+$C$25)^S$4,"")</f>
        <v>#REF!</v>
      </c>
      <c r="T14" s="231" t="e">
        <f>IF(T$4&lt;=$C$32,(#REF!)*(1+$C$25)^T$4,"")</f>
        <v>#REF!</v>
      </c>
      <c r="U14" s="231" t="e">
        <f>IF(U$4&lt;=$C$32,(#REF!)*(1+$C$25)^U$4,"")</f>
        <v>#REF!</v>
      </c>
      <c r="V14" s="231" t="e">
        <f>IF(V$4&lt;=$C$32,(#REF!)*(1+$C$25)^V$4,"")</f>
        <v>#REF!</v>
      </c>
      <c r="W14" s="231" t="e">
        <f>IF(W$4&lt;=$C$32,(#REF!)*(1+$C$25)^W$4,"")</f>
        <v>#REF!</v>
      </c>
      <c r="X14" s="231" t="e">
        <f>IF(X$4&lt;=$C$32,(#REF!)*(1+$C$25)^X$4,"")</f>
        <v>#REF!</v>
      </c>
      <c r="Y14" s="231" t="e">
        <f>IF(Y$4&lt;=$C$32,(#REF!)*(1+$C$25)^Y$4,"")</f>
        <v>#REF!</v>
      </c>
      <c r="Z14" s="231" t="e">
        <f>IF(Z$4&lt;=$C$32,(#REF!)*(1+$C$25)^Z$4,"")</f>
        <v>#REF!</v>
      </c>
      <c r="AA14" s="231" t="e">
        <f>IF(AA$4&lt;=$C$32,(#REF!)*(1+$C$25)^AA$4,"")</f>
        <v>#REF!</v>
      </c>
      <c r="AB14" s="231" t="e">
        <f>IF(AB$4&lt;=$C$32,(#REF!)*(1+$C$25)^AB$4,"")</f>
        <v>#REF!</v>
      </c>
      <c r="AC14" s="231"/>
    </row>
    <row r="15" spans="1:29">
      <c r="A15" s="140" t="s">
        <v>350</v>
      </c>
      <c r="B15" s="105"/>
      <c r="C15" s="221"/>
      <c r="E15" s="12"/>
      <c r="F15" s="90" t="s">
        <v>322</v>
      </c>
      <c r="G15" s="231" t="e">
        <f>IF(G$4&lt;=$C$32,#REF!*(1+$C$21)^G$4,"")</f>
        <v>#REF!</v>
      </c>
      <c r="H15" s="231" t="e">
        <f t="shared" si="0"/>
        <v>#REF!</v>
      </c>
      <c r="I15" s="231" t="e">
        <f>IF(I$4&lt;=$C$32,#REF!*(1+$C$21)^I$4,"")</f>
        <v>#REF!</v>
      </c>
      <c r="J15" s="231" t="e">
        <f>IF(J$4&lt;=$C$32,#REF!*(1+$C$21)^J$4,"")</f>
        <v>#REF!</v>
      </c>
      <c r="K15" s="231" t="e">
        <f>IF(K$4&lt;=$C$32,#REF!*(1+$C$21)^K$4,"")</f>
        <v>#REF!</v>
      </c>
      <c r="L15" s="231" t="e">
        <f>IF(L$4&lt;=$C$32,#REF!*(1+$C$21)^L$4,"")</f>
        <v>#REF!</v>
      </c>
      <c r="M15" s="231" t="e">
        <f>IF(M$4&lt;=$C$32,#REF!*(1+$C$21)^M$4,"")</f>
        <v>#REF!</v>
      </c>
      <c r="N15" s="231" t="e">
        <f>IF(N$4&lt;=$C$32,#REF!*(1+$C$21)^N$4,"")</f>
        <v>#REF!</v>
      </c>
      <c r="O15" s="231" t="e">
        <f>IF(O$4&lt;=$C$32,#REF!*(1+$C$21)^O$4,"")</f>
        <v>#REF!</v>
      </c>
      <c r="P15" s="231" t="e">
        <f>IF(P$4&lt;=$C$32,#REF!*(1+$C$21)^P$4,"")</f>
        <v>#REF!</v>
      </c>
      <c r="Q15" s="231" t="e">
        <f>IF(Q$4&lt;=$C$32,#REF!*(1+$C$21)^Q$4,"")</f>
        <v>#REF!</v>
      </c>
      <c r="R15" s="231" t="e">
        <f>IF(R$4&lt;=$C$32,#REF!*(1+$C$21)^R$4,"")</f>
        <v>#REF!</v>
      </c>
      <c r="S15" s="231" t="e">
        <f>IF(S$4&lt;=$C$32,#REF!*(1+$C$21)^S$4,"")</f>
        <v>#REF!</v>
      </c>
      <c r="T15" s="231" t="e">
        <f>IF(T$4&lt;=$C$32,#REF!*(1+$C$21)^T$4,"")</f>
        <v>#REF!</v>
      </c>
      <c r="U15" s="231" t="e">
        <f>IF(U$4&lt;=$C$32,#REF!*(1+$C$21)^U$4,"")</f>
        <v>#REF!</v>
      </c>
      <c r="V15" s="231" t="e">
        <f>IF(V$4&lt;=$C$32,#REF!*(1+$C$21)^V$4,"")</f>
        <v>#REF!</v>
      </c>
      <c r="W15" s="231" t="e">
        <f>IF(W$4&lt;=$C$32,#REF!*(1+$C$21)^W$4,"")</f>
        <v>#REF!</v>
      </c>
      <c r="X15" s="231" t="e">
        <f>IF(X$4&lt;=$C$32,#REF!*(1+$C$21)^X$4,"")</f>
        <v>#REF!</v>
      </c>
      <c r="Y15" s="231" t="e">
        <f>IF(Y$4&lt;=$C$32,#REF!*(1+$C$21)^Y$4,"")</f>
        <v>#REF!</v>
      </c>
      <c r="Z15" s="231" t="e">
        <f>IF(Z$4&lt;=$C$32,#REF!*(1+$C$21)^Z$4,"")</f>
        <v>#REF!</v>
      </c>
      <c r="AA15" s="231" t="e">
        <f>IF(AA$4&lt;=$C$32,#REF!*(1+$C$21)^AA$4,"")</f>
        <v>#REF!</v>
      </c>
      <c r="AB15" s="231" t="e">
        <f>IF(AB$4&lt;=$C$32,#REF!*(1+$C$21)^AB$4,"")</f>
        <v>#REF!</v>
      </c>
      <c r="AC15" s="107"/>
    </row>
    <row r="16" spans="1:29">
      <c r="A16" s="105" t="s">
        <v>89</v>
      </c>
      <c r="B16" s="105"/>
      <c r="C16" s="221" t="e">
        <f>#REF!*(1+C21)</f>
        <v>#REF!</v>
      </c>
      <c r="E16" s="12"/>
      <c r="F16" s="90" t="s">
        <v>106</v>
      </c>
      <c r="G16" s="231" t="e">
        <f>IF(G$4&lt;=$C$32,#REF!*(1+$C$23)^G$4,"")</f>
        <v>#REF!</v>
      </c>
      <c r="H16" s="231" t="e">
        <f t="shared" si="0"/>
        <v>#REF!</v>
      </c>
      <c r="I16" s="231" t="e">
        <f>IF(I$4&lt;=$C$32,#REF!*(1+$C$23)^I$4,"")</f>
        <v>#REF!</v>
      </c>
      <c r="J16" s="231" t="e">
        <f>IF(J$4&lt;=$C$32,#REF!*(1+$C$23)^J$4,"")</f>
        <v>#REF!</v>
      </c>
      <c r="K16" s="231" t="e">
        <f>IF(K$4&lt;=$C$32,#REF!*(1+$C$23)^K$4,"")</f>
        <v>#REF!</v>
      </c>
      <c r="L16" s="231" t="e">
        <f>IF(L$4&lt;=$C$32,#REF!*(1+$C$23)^L$4,"")</f>
        <v>#REF!</v>
      </c>
      <c r="M16" s="231" t="e">
        <f>IF(M$4&lt;=$C$32,#REF!*(1+$C$23)^M$4,"")</f>
        <v>#REF!</v>
      </c>
      <c r="N16" s="231" t="e">
        <f>IF(N$4&lt;=$C$32,#REF!*(1+$C$23)^N$4,"")</f>
        <v>#REF!</v>
      </c>
      <c r="O16" s="231" t="e">
        <f>IF(O$4&lt;=$C$32,#REF!*(1+$C$23)^O$4,"")</f>
        <v>#REF!</v>
      </c>
      <c r="P16" s="231" t="e">
        <f>IF(P$4&lt;=$C$32,#REF!*(1+$C$23)^P$4,"")</f>
        <v>#REF!</v>
      </c>
      <c r="Q16" s="231" t="e">
        <f>IF(Q$4&lt;=$C$32,#REF!*(1+$C$23)^Q$4,"")</f>
        <v>#REF!</v>
      </c>
      <c r="R16" s="231" t="e">
        <f>IF(R$4&lt;=$C$32,#REF!*(1+$C$23)^R$4,"")</f>
        <v>#REF!</v>
      </c>
      <c r="S16" s="231" t="e">
        <f>IF(S$4&lt;=$C$32,#REF!*(1+$C$23)^S$4,"")</f>
        <v>#REF!</v>
      </c>
      <c r="T16" s="231" t="e">
        <f>IF(T$4&lt;=$C$32,#REF!*(1+$C$23)^T$4,"")</f>
        <v>#REF!</v>
      </c>
      <c r="U16" s="231" t="e">
        <f>IF(U$4&lt;=$C$32,#REF!*(1+$C$23)^U$4,"")</f>
        <v>#REF!</v>
      </c>
      <c r="V16" s="231" t="e">
        <f>IF(V$4&lt;=$C$32,#REF!*(1+$C$23)^V$4,"")</f>
        <v>#REF!</v>
      </c>
      <c r="W16" s="231" t="e">
        <f>IF(W$4&lt;=$C$32,#REF!*(1+$C$23)^W$4,"")</f>
        <v>#REF!</v>
      </c>
      <c r="X16" s="231" t="e">
        <f>IF(X$4&lt;=$C$32,#REF!*(1+$C$23)^X$4,"")</f>
        <v>#REF!</v>
      </c>
      <c r="Y16" s="231" t="e">
        <f>IF(Y$4&lt;=$C$32,#REF!*(1+$C$23)^Y$4,"")</f>
        <v>#REF!</v>
      </c>
      <c r="Z16" s="231" t="e">
        <f>IF(Z$4&lt;=$C$32,#REF!*(1+$C$23)^Z$4,"")</f>
        <v>#REF!</v>
      </c>
      <c r="AA16" s="231" t="e">
        <f>IF(AA$4&lt;=$C$32,#REF!*(1+$C$23)^AA$4,"")</f>
        <v>#REF!</v>
      </c>
      <c r="AB16" s="231" t="e">
        <f>IF(AB$4&lt;=$C$32,#REF!*(1+$C$23)^AB$4,"")</f>
        <v>#REF!</v>
      </c>
      <c r="AC16" s="106"/>
    </row>
    <row r="17" spans="1:29">
      <c r="A17" s="105" t="s">
        <v>337</v>
      </c>
      <c r="B17" s="105"/>
      <c r="C17" s="221" t="e">
        <f>#REF!*(1+C22)</f>
        <v>#REF!</v>
      </c>
      <c r="E17" s="12"/>
      <c r="F17" s="90" t="s">
        <v>181</v>
      </c>
      <c r="G17" s="231" t="e">
        <f>IF(G$4&lt;=$C$32,#REF!*(1+$C$22)^G4,"")</f>
        <v>#REF!</v>
      </c>
      <c r="H17" s="231" t="e">
        <f t="shared" si="0"/>
        <v>#REF!</v>
      </c>
      <c r="I17" s="231" t="e">
        <f>IF(I$4&lt;=$C$32,#REF!*(1+$C$22)^I4,"")</f>
        <v>#REF!</v>
      </c>
      <c r="J17" s="231" t="e">
        <f>IF(J$4&lt;=$C$32,#REF!*(1+$C$22)^J4,"")</f>
        <v>#REF!</v>
      </c>
      <c r="K17" s="231" t="e">
        <f>IF(K$4&lt;=$C$32,#REF!*(1+$C$22)^K4,"")</f>
        <v>#REF!</v>
      </c>
      <c r="L17" s="231" t="e">
        <f>IF(L$4&lt;=$C$32,#REF!*(1+$C$22)^L4,"")</f>
        <v>#REF!</v>
      </c>
      <c r="M17" s="231" t="e">
        <f>IF(M$4&lt;=$C$32,#REF!*(1+$C$22)^M4,"")</f>
        <v>#REF!</v>
      </c>
      <c r="N17" s="231" t="e">
        <f>IF(N$4&lt;=$C$32,#REF!*(1+$C$22)^N4,"")</f>
        <v>#REF!</v>
      </c>
      <c r="O17" s="231" t="e">
        <f>IF(O$4&lt;=$C$32,#REF!*(1+$C$22)^O4,"")</f>
        <v>#REF!</v>
      </c>
      <c r="P17" s="231" t="e">
        <f>IF(P$4&lt;=$C$32,#REF!*(1+$C$22)^P4,"")</f>
        <v>#REF!</v>
      </c>
      <c r="Q17" s="231" t="e">
        <f>IF(Q$4&lt;=$C$32,#REF!*(1+$C$22)^Q4,"")</f>
        <v>#REF!</v>
      </c>
      <c r="R17" s="231" t="e">
        <f>IF(R$4&lt;=$C$32,#REF!*(1+$C$22)^R4,"")</f>
        <v>#REF!</v>
      </c>
      <c r="S17" s="231" t="e">
        <f>IF(S$4&lt;=$C$32,#REF!*(1+$C$22)^S4,"")</f>
        <v>#REF!</v>
      </c>
      <c r="T17" s="231" t="e">
        <f>IF(T$4&lt;=$C$32,#REF!*(1+$C$22)^T4,"")</f>
        <v>#REF!</v>
      </c>
      <c r="U17" s="231" t="e">
        <f>IF(U$4&lt;=$C$32,#REF!*(1+$C$22)^U4,"")</f>
        <v>#REF!</v>
      </c>
      <c r="V17" s="231" t="e">
        <f>IF(V$4&lt;=$C$32,#REF!*(1+$C$22)^V4,"")</f>
        <v>#REF!</v>
      </c>
      <c r="W17" s="231" t="e">
        <f>IF(W$4&lt;=$C$32,#REF!*(1+$C$22)^W4,"")</f>
        <v>#REF!</v>
      </c>
      <c r="X17" s="231" t="e">
        <f>IF(X$4&lt;=$C$32,#REF!*(1+$C$22)^X4,"")</f>
        <v>#REF!</v>
      </c>
      <c r="Y17" s="231" t="e">
        <f>IF(Y$4&lt;=$C$32,#REF!*(1+$C$22)^Y4,"")</f>
        <v>#REF!</v>
      </c>
      <c r="Z17" s="231" t="e">
        <f>IF(Z$4&lt;=$C$32,#REF!*(1+$C$22)^Z4,"")</f>
        <v>#REF!</v>
      </c>
      <c r="AA17" s="231" t="e">
        <f>IF(AA$4&lt;=$C$32,#REF!*(1+$C$22)^AA4,"")</f>
        <v>#REF!</v>
      </c>
      <c r="AB17" s="231" t="e">
        <f>IF(AB$4&lt;=$C$32,#REF!*(1+$C$22)^AB4,"")</f>
        <v>#REF!</v>
      </c>
      <c r="AC17" s="106"/>
    </row>
    <row r="18" spans="1:29" ht="15">
      <c r="A18" s="105" t="s">
        <v>338</v>
      </c>
      <c r="B18" s="105"/>
      <c r="C18" s="221" t="e">
        <f>C16-C17</f>
        <v>#REF!</v>
      </c>
      <c r="E18" s="12"/>
      <c r="F18" s="12" t="s">
        <v>7</v>
      </c>
      <c r="G18" s="232" t="e">
        <f>IF(G$4&lt;=$C$32,SUM(G13:G17),"")</f>
        <v>#REF!</v>
      </c>
      <c r="H18" s="232" t="e">
        <f t="shared" si="0"/>
        <v>#REF!</v>
      </c>
      <c r="I18" s="232" t="e">
        <f t="shared" ref="I18:AB18" si="3">IF(I$4&lt;=$C$32,SUM(I13:I17),"")</f>
        <v>#REF!</v>
      </c>
      <c r="J18" s="232" t="e">
        <f t="shared" si="3"/>
        <v>#REF!</v>
      </c>
      <c r="K18" s="232" t="e">
        <f t="shared" si="3"/>
        <v>#REF!</v>
      </c>
      <c r="L18" s="232" t="e">
        <f t="shared" si="3"/>
        <v>#REF!</v>
      </c>
      <c r="M18" s="232" t="e">
        <f t="shared" si="3"/>
        <v>#REF!</v>
      </c>
      <c r="N18" s="232" t="e">
        <f t="shared" si="3"/>
        <v>#REF!</v>
      </c>
      <c r="O18" s="232" t="e">
        <f t="shared" si="3"/>
        <v>#REF!</v>
      </c>
      <c r="P18" s="232" t="e">
        <f t="shared" si="3"/>
        <v>#REF!</v>
      </c>
      <c r="Q18" s="232" t="e">
        <f t="shared" si="3"/>
        <v>#REF!</v>
      </c>
      <c r="R18" s="232" t="e">
        <f t="shared" si="3"/>
        <v>#REF!</v>
      </c>
      <c r="S18" s="232" t="e">
        <f t="shared" si="3"/>
        <v>#REF!</v>
      </c>
      <c r="T18" s="232" t="e">
        <f t="shared" si="3"/>
        <v>#REF!</v>
      </c>
      <c r="U18" s="232" t="e">
        <f t="shared" si="3"/>
        <v>#REF!</v>
      </c>
      <c r="V18" s="232" t="e">
        <f t="shared" si="3"/>
        <v>#REF!</v>
      </c>
      <c r="W18" s="232" t="e">
        <f t="shared" si="3"/>
        <v>#REF!</v>
      </c>
      <c r="X18" s="232" t="e">
        <f t="shared" si="3"/>
        <v>#REF!</v>
      </c>
      <c r="Y18" s="232" t="e">
        <f t="shared" si="3"/>
        <v>#REF!</v>
      </c>
      <c r="Z18" s="232" t="e">
        <f t="shared" si="3"/>
        <v>#REF!</v>
      </c>
      <c r="AA18" s="232" t="e">
        <f t="shared" si="3"/>
        <v>#REF!</v>
      </c>
      <c r="AB18" s="232" t="e">
        <f t="shared" si="3"/>
        <v>#REF!</v>
      </c>
      <c r="AC18" s="92"/>
    </row>
    <row r="19" spans="1:29">
      <c r="A19" s="12"/>
      <c r="B19" s="12"/>
      <c r="C19" s="62"/>
      <c r="E19" s="12"/>
      <c r="F19" s="12"/>
      <c r="G19" s="231"/>
      <c r="H19" s="231"/>
      <c r="I19" s="231"/>
      <c r="J19" s="231"/>
      <c r="K19" s="231"/>
      <c r="L19" s="231"/>
      <c r="M19" s="231"/>
      <c r="N19" s="231"/>
      <c r="O19" s="231"/>
      <c r="P19" s="231"/>
      <c r="Q19" s="231"/>
      <c r="R19" s="231"/>
      <c r="S19" s="231"/>
      <c r="T19" s="231"/>
      <c r="U19" s="231"/>
      <c r="V19" s="231"/>
      <c r="W19" s="231"/>
      <c r="X19" s="231"/>
      <c r="Y19" s="231"/>
      <c r="Z19" s="231"/>
      <c r="AA19" s="231"/>
      <c r="AB19" s="231"/>
      <c r="AC19" s="106"/>
    </row>
    <row r="20" spans="1:29" ht="15">
      <c r="A20" s="140" t="s">
        <v>103</v>
      </c>
      <c r="B20"/>
      <c r="C20" s="59"/>
      <c r="E20" s="12"/>
      <c r="F20" s="12"/>
      <c r="G20" s="231"/>
      <c r="H20" s="231"/>
      <c r="I20" s="231"/>
      <c r="J20" s="231"/>
      <c r="K20" s="231"/>
      <c r="L20" s="231"/>
      <c r="M20" s="231"/>
      <c r="N20" s="231"/>
      <c r="O20" s="231"/>
      <c r="P20" s="231"/>
      <c r="Q20" s="231"/>
      <c r="R20" s="231"/>
      <c r="S20" s="231"/>
      <c r="T20" s="231"/>
      <c r="U20" s="231"/>
      <c r="V20" s="231"/>
      <c r="W20" s="231"/>
      <c r="X20" s="231"/>
      <c r="Y20" s="231"/>
      <c r="Z20" s="231"/>
      <c r="AA20" s="231"/>
      <c r="AB20" s="231"/>
      <c r="AC20" s="93"/>
    </row>
    <row r="21" spans="1:29" ht="15">
      <c r="A21" s="12" t="s">
        <v>333</v>
      </c>
      <c r="B21"/>
      <c r="C21" s="201" t="e">
        <f>INDEX(#REF!,MATCH(A21,#REF!,0),MATCH($C$12,#REF!,0))</f>
        <v>#REF!</v>
      </c>
      <c r="E21" s="12"/>
      <c r="F21" s="94" t="s">
        <v>240</v>
      </c>
      <c r="G21" s="233" t="e">
        <f>IF(G$4&lt;=$C$32,G10-G18,"")</f>
        <v>#REF!</v>
      </c>
      <c r="H21" s="233" t="e">
        <f t="shared" si="0"/>
        <v>#REF!</v>
      </c>
      <c r="I21" s="233" t="e">
        <f t="shared" ref="I21:AB21" si="4">IF(I$4&lt;=$C$32,I10-I18,"")</f>
        <v>#REF!</v>
      </c>
      <c r="J21" s="233" t="e">
        <f t="shared" si="4"/>
        <v>#REF!</v>
      </c>
      <c r="K21" s="233" t="e">
        <f t="shared" si="4"/>
        <v>#REF!</v>
      </c>
      <c r="L21" s="233" t="e">
        <f t="shared" si="4"/>
        <v>#REF!</v>
      </c>
      <c r="M21" s="233" t="e">
        <f t="shared" si="4"/>
        <v>#REF!</v>
      </c>
      <c r="N21" s="233" t="e">
        <f t="shared" si="4"/>
        <v>#REF!</v>
      </c>
      <c r="O21" s="233" t="e">
        <f t="shared" si="4"/>
        <v>#REF!</v>
      </c>
      <c r="P21" s="233" t="e">
        <f t="shared" si="4"/>
        <v>#REF!</v>
      </c>
      <c r="Q21" s="233" t="e">
        <f t="shared" si="4"/>
        <v>#REF!</v>
      </c>
      <c r="R21" s="233" t="e">
        <f t="shared" si="4"/>
        <v>#REF!</v>
      </c>
      <c r="S21" s="233" t="e">
        <f t="shared" si="4"/>
        <v>#REF!</v>
      </c>
      <c r="T21" s="233" t="e">
        <f t="shared" si="4"/>
        <v>#REF!</v>
      </c>
      <c r="U21" s="233" t="e">
        <f t="shared" si="4"/>
        <v>#REF!</v>
      </c>
      <c r="V21" s="233" t="e">
        <f t="shared" si="4"/>
        <v>#REF!</v>
      </c>
      <c r="W21" s="233" t="e">
        <f t="shared" si="4"/>
        <v>#REF!</v>
      </c>
      <c r="X21" s="233" t="e">
        <f t="shared" si="4"/>
        <v>#REF!</v>
      </c>
      <c r="Y21" s="233" t="e">
        <f t="shared" si="4"/>
        <v>#REF!</v>
      </c>
      <c r="Z21" s="233" t="e">
        <f t="shared" si="4"/>
        <v>#REF!</v>
      </c>
      <c r="AA21" s="233" t="e">
        <f t="shared" si="4"/>
        <v>#REF!</v>
      </c>
      <c r="AB21" s="233" t="e">
        <f t="shared" si="4"/>
        <v>#REF!</v>
      </c>
      <c r="AC21" s="109"/>
    </row>
    <row r="22" spans="1:29" ht="15">
      <c r="A22" s="12" t="s">
        <v>354</v>
      </c>
      <c r="B22"/>
      <c r="C22" s="201" t="e">
        <f>INDEX(#REF!,MATCH(A22,#REF!,0),MATCH($C$12,#REF!,0))</f>
        <v>#REF!</v>
      </c>
      <c r="E22" s="12"/>
      <c r="F22" s="12" t="s">
        <v>183</v>
      </c>
      <c r="G22" s="226"/>
      <c r="H22" s="226"/>
      <c r="I22" s="226"/>
      <c r="J22" s="226"/>
      <c r="K22" s="226"/>
      <c r="L22" s="226"/>
      <c r="M22" s="226"/>
      <c r="N22" s="226"/>
      <c r="O22" s="226"/>
      <c r="P22" s="226"/>
      <c r="Q22" s="226"/>
      <c r="R22" s="226"/>
      <c r="S22" s="226"/>
      <c r="T22" s="226"/>
      <c r="U22" s="226"/>
      <c r="V22" s="226"/>
      <c r="W22" s="226"/>
      <c r="X22" s="226"/>
      <c r="Y22" s="226"/>
      <c r="Z22" s="226"/>
      <c r="AA22" s="226"/>
      <c r="AB22" s="226"/>
      <c r="AC22" s="97"/>
    </row>
    <row r="23" spans="1:29" ht="15">
      <c r="A23" s="12" t="s">
        <v>2</v>
      </c>
      <c r="B23"/>
      <c r="C23" s="201" t="e">
        <f>INDEX(#REF!,MATCH(A23,#REF!,0),MATCH($C$12,#REF!,0))</f>
        <v>#REF!</v>
      </c>
      <c r="E23" s="12"/>
      <c r="F23" s="90" t="s">
        <v>184</v>
      </c>
      <c r="G23" s="231" t="e">
        <f>IF(G$4&lt;=$C$32,#REF!*(1+$C$24)^G$4,"")</f>
        <v>#REF!</v>
      </c>
      <c r="H23" s="231" t="e">
        <f>G23*$C$40</f>
        <v>#REF!</v>
      </c>
      <c r="I23" s="231" t="e">
        <f>IF(I$4&lt;=$C$32,(#REF!+IF(MOD(I4,#REF!)=0,#REF!,0))*(1+$C$24)^I$4,"")</f>
        <v>#REF!</v>
      </c>
      <c r="J23" s="231" t="e">
        <f>IF(J$4&lt;=$C$32,(#REF!+IF(MOD(J4,#REF!)=0,#REF!,0))*(1+$C$24)^J$4,"")</f>
        <v>#REF!</v>
      </c>
      <c r="K23" s="231" t="e">
        <f>IF(K$4&lt;=$C$32,(#REF!+IF(MOD(K4,#REF!)=0,#REF!,0))*(1+$C$24)^K$4,"")</f>
        <v>#REF!</v>
      </c>
      <c r="L23" s="231" t="e">
        <f>IF(L$4&lt;=$C$32,(#REF!+IF(MOD(L4,#REF!)=0,#REF!,0))*(1+$C$24)^L$4,"")</f>
        <v>#REF!</v>
      </c>
      <c r="M23" s="231" t="e">
        <f>IF(M$4&lt;=$C$32,(#REF!+IF(MOD(M4,#REF!)=0,#REF!,0))*(1+$C$24)^M$4,"")</f>
        <v>#REF!</v>
      </c>
      <c r="N23" s="231" t="e">
        <f>IF(N$4&lt;=$C$32,(#REF!+IF(MOD(N4,#REF!)=0,#REF!,0))*(1+$C$24)^N$4,"")</f>
        <v>#REF!</v>
      </c>
      <c r="O23" s="231" t="e">
        <f>IF(O$4&lt;=$C$32,(#REF!+IF(MOD(O4,#REF!)=0,#REF!,0))*(1+$C$24)^O$4,"")</f>
        <v>#REF!</v>
      </c>
      <c r="P23" s="231" t="e">
        <f>IF(P$4&lt;=$C$32,(#REF!+IF(MOD(P4,#REF!)=0,#REF!,0))*(1+$C$24)^P$4,"")</f>
        <v>#REF!</v>
      </c>
      <c r="Q23" s="231" t="e">
        <f>IF(Q$4&lt;=$C$32,(#REF!+IF(MOD(Q4,#REF!)=0,#REF!,0))*(1+$C$24)^Q$4,"")</f>
        <v>#REF!</v>
      </c>
      <c r="R23" s="231" t="e">
        <f>IF(R$4&lt;=$C$32,(#REF!+IF(MOD(R4,#REF!)=0,#REF!,0))*(1+$C$24)^R$4,"")</f>
        <v>#REF!</v>
      </c>
      <c r="S23" s="231" t="e">
        <f>IF(S$4&lt;=$C$32,(#REF!+IF(MOD(S4,#REF!)=0,#REF!,0))*(1+$C$24)^S$4,"")</f>
        <v>#REF!</v>
      </c>
      <c r="T23" s="231" t="e">
        <f>IF(T$4&lt;=$C$32,(#REF!+IF(MOD(T4,#REF!)=0,#REF!,0))*(1+$C$24)^T$4,"")</f>
        <v>#REF!</v>
      </c>
      <c r="U23" s="231" t="e">
        <f>IF(U$4&lt;=$C$32,(#REF!+IF(MOD(U4,#REF!)=0,#REF!,0))*(1+$C$24)^U$4,"")</f>
        <v>#REF!</v>
      </c>
      <c r="V23" s="231" t="e">
        <f>IF(V$4&lt;=$C$32,(#REF!+IF(MOD(V4,#REF!)=0,#REF!,0))*(1+$C$24)^V$4,"")</f>
        <v>#REF!</v>
      </c>
      <c r="W23" s="231" t="e">
        <f>IF(W$4&lt;=$C$32,(#REF!+IF(MOD(W4,#REF!)=0,#REF!,0))*(1+$C$24)^W$4,"")</f>
        <v>#REF!</v>
      </c>
      <c r="X23" s="231" t="e">
        <f>IF(X$4&lt;=$C$32,(#REF!+IF(MOD(X4,#REF!)=0,#REF!,0))*(1+$C$24)^X$4,"")</f>
        <v>#REF!</v>
      </c>
      <c r="Y23" s="231" t="e">
        <f>IF(Y$4&lt;=$C$32,(#REF!+IF(MOD(Y4,#REF!)=0,#REF!,0))*(1+$C$24)^Y$4,"")</f>
        <v>#REF!</v>
      </c>
      <c r="Z23" s="231" t="e">
        <f>IF(Z$4&lt;=$C$32,(#REF!+IF(MOD(Z4,#REF!)=0,#REF!,0))*(1+$C$24)^Z$4,"")</f>
        <v>#REF!</v>
      </c>
      <c r="AA23" s="231" t="e">
        <f>IF(AA$4&lt;=$C$32,(#REF!+IF(MOD(AA4,#REF!)=0,#REF!,0))*(1+$C$24)^AA$4,"")</f>
        <v>#REF!</v>
      </c>
      <c r="AB23" s="231" t="e">
        <f>IF(AB$4&lt;=$C$32,(#REF!+IF(MOD(AB4,#REF!)=0,#REF!,0))*(1+$C$24)^AB$4,"")</f>
        <v>#REF!</v>
      </c>
      <c r="AC23" s="106"/>
    </row>
    <row r="24" spans="1:29" ht="15">
      <c r="A24" s="12" t="s">
        <v>335</v>
      </c>
      <c r="B24"/>
      <c r="C24" s="201" t="e">
        <f>INDEX(#REF!,MATCH(A24,#REF!,0),MATCH($C$12,#REF!,0))</f>
        <v>#REF!</v>
      </c>
      <c r="E24" s="12"/>
      <c r="F24" s="12"/>
      <c r="G24" s="232"/>
      <c r="H24" s="232"/>
      <c r="I24" s="232"/>
      <c r="J24" s="232"/>
      <c r="K24" s="232"/>
      <c r="L24" s="232"/>
      <c r="M24" s="232"/>
      <c r="N24" s="232"/>
      <c r="O24" s="232"/>
      <c r="P24" s="232"/>
      <c r="Q24" s="232"/>
      <c r="R24" s="232"/>
      <c r="S24" s="232"/>
      <c r="T24" s="232"/>
      <c r="U24" s="232"/>
      <c r="V24" s="232"/>
      <c r="W24" s="232"/>
      <c r="X24" s="232"/>
      <c r="Y24" s="232"/>
      <c r="Z24" s="232"/>
      <c r="AA24" s="232"/>
      <c r="AB24" s="232"/>
      <c r="AC24" s="92"/>
    </row>
    <row r="25" spans="1:29" ht="15">
      <c r="A25" s="12" t="s">
        <v>69</v>
      </c>
      <c r="B25"/>
      <c r="C25" s="201" t="e">
        <f>INDEX(#REF!,MATCH(A25,#REF!,0),MATCH($C$12,#REF!,0))</f>
        <v>#REF!</v>
      </c>
      <c r="E25" s="12"/>
      <c r="F25" s="12"/>
      <c r="G25" s="232"/>
      <c r="H25" s="232"/>
      <c r="I25" s="232"/>
      <c r="J25" s="232"/>
      <c r="K25" s="232"/>
      <c r="L25" s="232"/>
      <c r="M25" s="232"/>
      <c r="N25" s="232"/>
      <c r="O25" s="232"/>
      <c r="P25" s="232"/>
      <c r="Q25" s="232"/>
      <c r="R25" s="232"/>
      <c r="S25" s="232"/>
      <c r="T25" s="232"/>
      <c r="U25" s="232"/>
      <c r="V25" s="232"/>
      <c r="W25" s="232"/>
      <c r="X25" s="232"/>
      <c r="Y25" s="232"/>
      <c r="Z25" s="232"/>
      <c r="AA25" s="232"/>
      <c r="AB25" s="232"/>
      <c r="AC25" s="92"/>
    </row>
    <row r="26" spans="1:29" ht="15">
      <c r="A26" s="12"/>
      <c r="B26"/>
      <c r="C26" s="112"/>
      <c r="E26" s="12"/>
      <c r="F26" s="98" t="s">
        <v>91</v>
      </c>
      <c r="G26" s="234" t="e">
        <f>IF(G$4&lt;=$C$32,G21-G23,"")</f>
        <v>#REF!</v>
      </c>
      <c r="H26" s="234" t="e">
        <f t="shared" si="0"/>
        <v>#REF!</v>
      </c>
      <c r="I26" s="234" t="e">
        <f t="shared" ref="I26:AB26" si="5">IF(I$4&lt;=$C$32,I21-I23,"")</f>
        <v>#REF!</v>
      </c>
      <c r="J26" s="234" t="e">
        <f t="shared" si="5"/>
        <v>#REF!</v>
      </c>
      <c r="K26" s="234" t="e">
        <f t="shared" si="5"/>
        <v>#REF!</v>
      </c>
      <c r="L26" s="234" t="e">
        <f t="shared" si="5"/>
        <v>#REF!</v>
      </c>
      <c r="M26" s="234" t="e">
        <f t="shared" si="5"/>
        <v>#REF!</v>
      </c>
      <c r="N26" s="234" t="e">
        <f t="shared" si="5"/>
        <v>#REF!</v>
      </c>
      <c r="O26" s="234" t="e">
        <f t="shared" si="5"/>
        <v>#REF!</v>
      </c>
      <c r="P26" s="234" t="e">
        <f t="shared" si="5"/>
        <v>#REF!</v>
      </c>
      <c r="Q26" s="234" t="e">
        <f t="shared" si="5"/>
        <v>#REF!</v>
      </c>
      <c r="R26" s="234" t="e">
        <f t="shared" si="5"/>
        <v>#REF!</v>
      </c>
      <c r="S26" s="234" t="e">
        <f t="shared" si="5"/>
        <v>#REF!</v>
      </c>
      <c r="T26" s="234" t="e">
        <f t="shared" si="5"/>
        <v>#REF!</v>
      </c>
      <c r="U26" s="234" t="e">
        <f t="shared" si="5"/>
        <v>#REF!</v>
      </c>
      <c r="V26" s="234" t="e">
        <f t="shared" si="5"/>
        <v>#REF!</v>
      </c>
      <c r="W26" s="234" t="e">
        <f t="shared" si="5"/>
        <v>#REF!</v>
      </c>
      <c r="X26" s="234" t="e">
        <f t="shared" si="5"/>
        <v>#REF!</v>
      </c>
      <c r="Y26" s="234" t="e">
        <f t="shared" si="5"/>
        <v>#REF!</v>
      </c>
      <c r="Z26" s="234" t="e">
        <f t="shared" si="5"/>
        <v>#REF!</v>
      </c>
      <c r="AA26" s="234" t="e">
        <f t="shared" si="5"/>
        <v>#REF!</v>
      </c>
      <c r="AB26" s="234" t="e">
        <f t="shared" si="5"/>
        <v>#REF!</v>
      </c>
      <c r="AC26" s="111"/>
    </row>
    <row r="27" spans="1:29" ht="15">
      <c r="A27" s="140" t="s">
        <v>100</v>
      </c>
      <c r="B27"/>
      <c r="C27" s="18"/>
      <c r="E27" s="12"/>
      <c r="F27" s="12"/>
      <c r="G27" s="231"/>
      <c r="H27" s="231"/>
      <c r="I27" s="231"/>
      <c r="J27" s="231"/>
      <c r="K27" s="231"/>
      <c r="L27" s="231"/>
      <c r="M27" s="231"/>
      <c r="N27" s="231"/>
      <c r="O27" s="231"/>
      <c r="P27" s="231"/>
      <c r="Q27" s="231"/>
      <c r="R27" s="231"/>
      <c r="S27" s="231"/>
      <c r="T27" s="231"/>
      <c r="U27" s="231"/>
      <c r="V27" s="231"/>
      <c r="W27" s="231"/>
      <c r="X27" s="231"/>
      <c r="Y27" s="231"/>
      <c r="Z27" s="231"/>
      <c r="AA27" s="231"/>
      <c r="AB27" s="231"/>
      <c r="AC27" s="93"/>
    </row>
    <row r="28" spans="1:29" ht="15">
      <c r="A28" s="105" t="s">
        <v>206</v>
      </c>
      <c r="B28"/>
      <c r="C28" s="59" t="s">
        <v>207</v>
      </c>
      <c r="E28" s="12"/>
      <c r="F28" s="90" t="s">
        <v>100</v>
      </c>
      <c r="G28" s="231" t="e">
        <f>IF(G$4&lt;=MIN($C$32,$C$29),$C$31,"")</f>
        <v>#REF!</v>
      </c>
      <c r="H28" s="231" t="e">
        <f t="shared" si="0"/>
        <v>#REF!</v>
      </c>
      <c r="I28" s="231" t="e">
        <f t="shared" ref="I28:AB28" si="6">IF(I$4&lt;=MIN($C$32,$C$29),$C$31,"")</f>
        <v>#REF!</v>
      </c>
      <c r="J28" s="231" t="e">
        <f t="shared" si="6"/>
        <v>#REF!</v>
      </c>
      <c r="K28" s="231" t="e">
        <f t="shared" si="6"/>
        <v>#REF!</v>
      </c>
      <c r="L28" s="231" t="e">
        <f t="shared" si="6"/>
        <v>#REF!</v>
      </c>
      <c r="M28" s="231" t="e">
        <f t="shared" si="6"/>
        <v>#REF!</v>
      </c>
      <c r="N28" s="231" t="e">
        <f t="shared" si="6"/>
        <v>#REF!</v>
      </c>
      <c r="O28" s="231" t="e">
        <f t="shared" si="6"/>
        <v>#REF!</v>
      </c>
      <c r="P28" s="231" t="e">
        <f t="shared" si="6"/>
        <v>#REF!</v>
      </c>
      <c r="Q28" s="231" t="e">
        <f t="shared" si="6"/>
        <v>#REF!</v>
      </c>
      <c r="R28" s="231" t="e">
        <f t="shared" si="6"/>
        <v>#REF!</v>
      </c>
      <c r="S28" s="231" t="e">
        <f t="shared" si="6"/>
        <v>#REF!</v>
      </c>
      <c r="T28" s="231" t="e">
        <f t="shared" si="6"/>
        <v>#REF!</v>
      </c>
      <c r="U28" s="231" t="e">
        <f t="shared" si="6"/>
        <v>#REF!</v>
      </c>
      <c r="V28" s="231" t="e">
        <f t="shared" si="6"/>
        <v>#REF!</v>
      </c>
      <c r="W28" s="231" t="e">
        <f t="shared" si="6"/>
        <v>#REF!</v>
      </c>
      <c r="X28" s="231" t="e">
        <f t="shared" si="6"/>
        <v>#REF!</v>
      </c>
      <c r="Y28" s="231" t="e">
        <f t="shared" si="6"/>
        <v>#REF!</v>
      </c>
      <c r="Z28" s="231" t="e">
        <f t="shared" si="6"/>
        <v>#REF!</v>
      </c>
      <c r="AA28" s="231" t="e">
        <f t="shared" si="6"/>
        <v>#REF!</v>
      </c>
      <c r="AB28" s="231" t="e">
        <f t="shared" si="6"/>
        <v>#REF!</v>
      </c>
      <c r="AC28" s="106"/>
    </row>
    <row r="29" spans="1:29" ht="15">
      <c r="A29" s="12" t="s">
        <v>210</v>
      </c>
      <c r="B29"/>
      <c r="C29" s="62">
        <v>15</v>
      </c>
      <c r="E29" s="12"/>
      <c r="F29" s="90" t="s">
        <v>216</v>
      </c>
      <c r="G29" s="231" t="e">
        <f>IF(G$4&lt;=$C$29,IF(G$4=$C$32,$C$33,0),"")</f>
        <v>#REF!</v>
      </c>
      <c r="H29" s="231" t="e">
        <f t="shared" si="0"/>
        <v>#REF!</v>
      </c>
      <c r="I29" s="231" t="e">
        <f t="shared" ref="I29:AB29" si="7">IF(I$4&lt;=$C$29,IF(I$4=$C$32,$C$33,0),"")</f>
        <v>#REF!</v>
      </c>
      <c r="J29" s="231" t="e">
        <f t="shared" si="7"/>
        <v>#REF!</v>
      </c>
      <c r="K29" s="231" t="e">
        <f t="shared" si="7"/>
        <v>#REF!</v>
      </c>
      <c r="L29" s="231" t="e">
        <f t="shared" si="7"/>
        <v>#REF!</v>
      </c>
      <c r="M29" s="231" t="e">
        <f t="shared" si="7"/>
        <v>#REF!</v>
      </c>
      <c r="N29" s="231" t="e">
        <f t="shared" si="7"/>
        <v>#REF!</v>
      </c>
      <c r="O29" s="231" t="e">
        <f t="shared" si="7"/>
        <v>#REF!</v>
      </c>
      <c r="P29" s="231" t="e">
        <f t="shared" si="7"/>
        <v>#REF!</v>
      </c>
      <c r="Q29" s="231" t="e">
        <f t="shared" si="7"/>
        <v>#REF!</v>
      </c>
      <c r="R29" s="231" t="e">
        <f t="shared" si="7"/>
        <v>#REF!</v>
      </c>
      <c r="S29" s="231" t="e">
        <f t="shared" si="7"/>
        <v>#REF!</v>
      </c>
      <c r="T29" s="231" t="e">
        <f t="shared" si="7"/>
        <v>#REF!</v>
      </c>
      <c r="U29" s="231" t="e">
        <f t="shared" si="7"/>
        <v>#REF!</v>
      </c>
      <c r="V29" s="231" t="e">
        <f t="shared" si="7"/>
        <v>#REF!</v>
      </c>
      <c r="W29" s="231" t="str">
        <f t="shared" si="7"/>
        <v/>
      </c>
      <c r="X29" s="231" t="str">
        <f t="shared" si="7"/>
        <v/>
      </c>
      <c r="Y29" s="231" t="str">
        <f t="shared" si="7"/>
        <v/>
      </c>
      <c r="Z29" s="231" t="str">
        <f t="shared" si="7"/>
        <v/>
      </c>
      <c r="AA29" s="231" t="str">
        <f t="shared" si="7"/>
        <v/>
      </c>
      <c r="AB29" s="231" t="str">
        <f t="shared" si="7"/>
        <v/>
      </c>
      <c r="AC29" s="106"/>
    </row>
    <row r="30" spans="1:29" ht="15">
      <c r="A30" s="12" t="s">
        <v>102</v>
      </c>
      <c r="B30"/>
      <c r="C30" s="62">
        <v>0</v>
      </c>
      <c r="E30" s="12"/>
      <c r="F30" s="12" t="s">
        <v>7</v>
      </c>
      <c r="G30" s="232" t="e">
        <f>IF(G$4&lt;=$C$32,SUM(G28:G29),"")</f>
        <v>#REF!</v>
      </c>
      <c r="H30" s="232" t="e">
        <f t="shared" si="0"/>
        <v>#REF!</v>
      </c>
      <c r="I30" s="232" t="e">
        <f t="shared" ref="I30:AB30" si="8">IF(I$4&lt;=$C$32,SUM(I28:I29),"")</f>
        <v>#REF!</v>
      </c>
      <c r="J30" s="232" t="e">
        <f t="shared" si="8"/>
        <v>#REF!</v>
      </c>
      <c r="K30" s="232" t="e">
        <f t="shared" si="8"/>
        <v>#REF!</v>
      </c>
      <c r="L30" s="232" t="e">
        <f t="shared" si="8"/>
        <v>#REF!</v>
      </c>
      <c r="M30" s="232" t="e">
        <f t="shared" si="8"/>
        <v>#REF!</v>
      </c>
      <c r="N30" s="232" t="e">
        <f t="shared" si="8"/>
        <v>#REF!</v>
      </c>
      <c r="O30" s="232" t="e">
        <f t="shared" si="8"/>
        <v>#REF!</v>
      </c>
      <c r="P30" s="232" t="e">
        <f t="shared" si="8"/>
        <v>#REF!</v>
      </c>
      <c r="Q30" s="232" t="e">
        <f t="shared" si="8"/>
        <v>#REF!</v>
      </c>
      <c r="R30" s="232" t="e">
        <f t="shared" si="8"/>
        <v>#REF!</v>
      </c>
      <c r="S30" s="232" t="e">
        <f t="shared" si="8"/>
        <v>#REF!</v>
      </c>
      <c r="T30" s="232" t="e">
        <f t="shared" si="8"/>
        <v>#REF!</v>
      </c>
      <c r="U30" s="232" t="e">
        <f t="shared" si="8"/>
        <v>#REF!</v>
      </c>
      <c r="V30" s="232" t="e">
        <f t="shared" si="8"/>
        <v>#REF!</v>
      </c>
      <c r="W30" s="232" t="e">
        <f t="shared" si="8"/>
        <v>#REF!</v>
      </c>
      <c r="X30" s="232" t="e">
        <f t="shared" si="8"/>
        <v>#REF!</v>
      </c>
      <c r="Y30" s="232" t="e">
        <f t="shared" si="8"/>
        <v>#REF!</v>
      </c>
      <c r="Z30" s="232" t="e">
        <f t="shared" si="8"/>
        <v>#REF!</v>
      </c>
      <c r="AA30" s="232" t="e">
        <f t="shared" si="8"/>
        <v>#REF!</v>
      </c>
      <c r="AB30" s="232" t="e">
        <f t="shared" si="8"/>
        <v>#REF!</v>
      </c>
      <c r="AC30" s="92"/>
    </row>
    <row r="31" spans="1:29" ht="15">
      <c r="A31" s="12" t="s">
        <v>201</v>
      </c>
      <c r="B31"/>
      <c r="C31" s="223" t="e">
        <f>(#REF!-C30)/C29</f>
        <v>#REF!</v>
      </c>
      <c r="E31" s="12"/>
      <c r="F31" s="12"/>
      <c r="G31" s="231"/>
      <c r="H31" s="231"/>
      <c r="I31" s="231"/>
      <c r="J31" s="231"/>
      <c r="K31" s="231"/>
      <c r="L31" s="231"/>
      <c r="M31" s="231"/>
      <c r="N31" s="231"/>
      <c r="O31" s="231"/>
      <c r="P31" s="231"/>
      <c r="Q31" s="231"/>
      <c r="R31" s="231"/>
      <c r="S31" s="231"/>
      <c r="T31" s="231"/>
      <c r="U31" s="231"/>
      <c r="V31" s="231"/>
      <c r="W31" s="231"/>
      <c r="X31" s="231"/>
      <c r="Y31" s="231"/>
      <c r="Z31" s="231"/>
      <c r="AA31" s="231"/>
      <c r="AB31" s="231"/>
      <c r="AC31" s="93"/>
    </row>
    <row r="32" spans="1:29" ht="15">
      <c r="A32" s="12" t="s">
        <v>209</v>
      </c>
      <c r="B32"/>
      <c r="C32" s="62" t="e">
        <f>INDEX(#REF!,MATCH(A32,#REF!,0),MATCH($C$12,#REF!,0))</f>
        <v>#REF!</v>
      </c>
      <c r="E32" s="12"/>
      <c r="F32" s="94" t="s">
        <v>97</v>
      </c>
      <c r="G32" s="233" t="e">
        <f>IF(G$4&lt;=$C$32,G26-G30,"")</f>
        <v>#REF!</v>
      </c>
      <c r="H32" s="233" t="e">
        <f t="shared" si="0"/>
        <v>#REF!</v>
      </c>
      <c r="I32" s="233" t="e">
        <f t="shared" ref="I32:AB32" si="9">IF(I$4&lt;=$C$32,I26-I30,"")</f>
        <v>#REF!</v>
      </c>
      <c r="J32" s="233" t="e">
        <f t="shared" si="9"/>
        <v>#REF!</v>
      </c>
      <c r="K32" s="233" t="e">
        <f t="shared" si="9"/>
        <v>#REF!</v>
      </c>
      <c r="L32" s="233" t="e">
        <f t="shared" si="9"/>
        <v>#REF!</v>
      </c>
      <c r="M32" s="233" t="e">
        <f t="shared" si="9"/>
        <v>#REF!</v>
      </c>
      <c r="N32" s="233" t="e">
        <f t="shared" si="9"/>
        <v>#REF!</v>
      </c>
      <c r="O32" s="233" t="e">
        <f t="shared" si="9"/>
        <v>#REF!</v>
      </c>
      <c r="P32" s="233" t="e">
        <f t="shared" si="9"/>
        <v>#REF!</v>
      </c>
      <c r="Q32" s="233" t="e">
        <f t="shared" si="9"/>
        <v>#REF!</v>
      </c>
      <c r="R32" s="233" t="e">
        <f t="shared" si="9"/>
        <v>#REF!</v>
      </c>
      <c r="S32" s="233" t="e">
        <f t="shared" si="9"/>
        <v>#REF!</v>
      </c>
      <c r="T32" s="233" t="e">
        <f t="shared" si="9"/>
        <v>#REF!</v>
      </c>
      <c r="U32" s="233" t="e">
        <f t="shared" si="9"/>
        <v>#REF!</v>
      </c>
      <c r="V32" s="233" t="e">
        <f t="shared" si="9"/>
        <v>#REF!</v>
      </c>
      <c r="W32" s="233" t="e">
        <f t="shared" si="9"/>
        <v>#REF!</v>
      </c>
      <c r="X32" s="233" t="e">
        <f t="shared" si="9"/>
        <v>#REF!</v>
      </c>
      <c r="Y32" s="233" t="e">
        <f t="shared" si="9"/>
        <v>#REF!</v>
      </c>
      <c r="Z32" s="233" t="e">
        <f t="shared" si="9"/>
        <v>#REF!</v>
      </c>
      <c r="AA32" s="233" t="e">
        <f t="shared" si="9"/>
        <v>#REF!</v>
      </c>
      <c r="AB32" s="233" t="e">
        <f t="shared" si="9"/>
        <v>#REF!</v>
      </c>
      <c r="AC32" s="109"/>
    </row>
    <row r="33" spans="1:29" ht="15">
      <c r="A33" s="12" t="s">
        <v>208</v>
      </c>
      <c r="B33"/>
      <c r="C33" s="223" t="e">
        <f>MAX((C29-C32)*C31,0)</f>
        <v>#REF!</v>
      </c>
      <c r="E33" s="12"/>
      <c r="F33" s="12"/>
      <c r="G33" s="231"/>
      <c r="H33" s="231"/>
      <c r="I33" s="231"/>
      <c r="J33" s="231"/>
      <c r="K33" s="231"/>
      <c r="L33" s="231"/>
      <c r="M33" s="231"/>
      <c r="N33" s="231"/>
      <c r="O33" s="231"/>
      <c r="P33" s="231"/>
      <c r="Q33" s="231"/>
      <c r="R33" s="231"/>
      <c r="S33" s="231"/>
      <c r="T33" s="231"/>
      <c r="U33" s="231"/>
      <c r="V33" s="231"/>
      <c r="W33" s="231"/>
      <c r="X33" s="231"/>
      <c r="Y33" s="231"/>
      <c r="Z33" s="231"/>
      <c r="AA33" s="231"/>
      <c r="AB33" s="12"/>
      <c r="AC33" s="12"/>
    </row>
    <row r="34" spans="1:29">
      <c r="A34" s="12"/>
      <c r="B34" s="12"/>
      <c r="C34" s="63"/>
      <c r="E34" s="12"/>
      <c r="F34" s="12"/>
      <c r="G34" s="231"/>
      <c r="H34" s="231"/>
      <c r="I34" s="231"/>
      <c r="J34" s="231"/>
      <c r="K34" s="231"/>
      <c r="L34" s="231"/>
      <c r="M34" s="231"/>
      <c r="N34" s="231"/>
      <c r="O34" s="231"/>
      <c r="P34" s="231"/>
      <c r="Q34" s="231"/>
      <c r="R34" s="231"/>
      <c r="S34" s="231"/>
      <c r="T34" s="231"/>
      <c r="U34" s="231"/>
      <c r="V34" s="231"/>
      <c r="W34" s="231"/>
      <c r="X34" s="231"/>
      <c r="Y34" s="231"/>
      <c r="Z34" s="231"/>
      <c r="AA34" s="231"/>
      <c r="AB34" s="106"/>
      <c r="AC34" s="106"/>
    </row>
    <row r="35" spans="1:29" ht="15">
      <c r="A35" s="12"/>
      <c r="B35"/>
      <c r="C35" s="62"/>
      <c r="E35" s="12"/>
      <c r="F35" s="12"/>
      <c r="G35" s="106"/>
      <c r="H35" s="106"/>
      <c r="I35" s="106"/>
      <c r="J35" s="106"/>
      <c r="K35" s="106"/>
      <c r="L35" s="106"/>
      <c r="M35" s="106"/>
      <c r="N35" s="106"/>
      <c r="O35" s="106"/>
      <c r="P35" s="106"/>
      <c r="Q35" s="106"/>
      <c r="R35" s="106"/>
      <c r="S35" s="106"/>
      <c r="T35" s="106"/>
      <c r="U35" s="106"/>
      <c r="V35" s="106"/>
      <c r="W35" s="106"/>
      <c r="X35" s="106"/>
      <c r="Y35" s="106"/>
      <c r="Z35" s="106"/>
      <c r="AA35" s="106"/>
      <c r="AB35" s="106"/>
      <c r="AC35" s="106"/>
    </row>
    <row r="36" spans="1:29" ht="15.75" thickBot="1">
      <c r="A36" s="25" t="s">
        <v>345</v>
      </c>
      <c r="B36" s="15"/>
      <c r="C36" s="15"/>
      <c r="E36" s="137"/>
      <c r="F36" s="138"/>
      <c r="G36" s="105"/>
      <c r="H36" s="105"/>
      <c r="I36" s="105"/>
      <c r="J36" s="105"/>
      <c r="K36" s="105"/>
      <c r="L36" s="105"/>
      <c r="M36" s="105"/>
      <c r="N36" s="105"/>
      <c r="O36" s="105"/>
      <c r="P36" s="105"/>
      <c r="Q36" s="105"/>
      <c r="R36" s="105"/>
      <c r="S36" s="105"/>
      <c r="T36" s="105"/>
      <c r="U36" s="105"/>
      <c r="V36" s="105"/>
      <c r="W36" s="105"/>
      <c r="X36" s="105"/>
      <c r="Y36" s="105"/>
      <c r="Z36" s="105"/>
      <c r="AA36" s="105"/>
      <c r="AB36" s="12"/>
      <c r="AC36" s="12"/>
    </row>
    <row r="37" spans="1:29" ht="15">
      <c r="A37" s="105" t="s">
        <v>343</v>
      </c>
      <c r="B37"/>
      <c r="C37" s="236">
        <v>44743</v>
      </c>
    </row>
    <row r="38" spans="1:29" ht="15">
      <c r="A38" s="12" t="s">
        <v>344</v>
      </c>
      <c r="B38"/>
      <c r="C38" s="224" t="e">
        <f>#REF!</f>
        <v>#REF!</v>
      </c>
    </row>
    <row r="39" spans="1:29" ht="15">
      <c r="A39" s="12" t="s">
        <v>346</v>
      </c>
      <c r="B39"/>
      <c r="C39" s="237" t="e">
        <f>C37+(C38*7)</f>
        <v>#REF!</v>
      </c>
    </row>
    <row r="40" spans="1:29" ht="15">
      <c r="A40" s="12" t="s">
        <v>348</v>
      </c>
      <c r="B40"/>
      <c r="C40" s="112" t="e">
        <f>YEARFRAC(C39,'Helper Sheet'!B10,1)</f>
        <v>#REF!</v>
      </c>
    </row>
    <row r="41" spans="1:29" ht="15">
      <c r="A41" s="12"/>
      <c r="B41"/>
      <c r="C41"/>
    </row>
  </sheetData>
  <mergeCells count="1">
    <mergeCell ref="G2:V2"/>
  </mergeCells>
  <dataValidations count="2">
    <dataValidation type="list" allowBlank="1" showInputMessage="1" showErrorMessage="1" sqref="C20" xr:uid="{FD17C9FE-0C49-4BA1-B322-39F19BCF6474}">
      <formula1>"SAT 46, CYS08, Average"</formula1>
    </dataValidation>
    <dataValidation type="list" allowBlank="1" showInputMessage="1" showErrorMessage="1" sqref="C12" xr:uid="{459CB703-6BD5-4FA6-B072-C630A9C8FECC}">
      <formula1>"Best Case, Most Likely Case, Worst Case"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FF25A-C253-4401-A02D-DFD5DC9E7825}">
  <sheetPr codeName="Sheet2"/>
  <dimension ref="A1:J25"/>
  <sheetViews>
    <sheetView showGridLines="0" workbookViewId="0">
      <selection activeCell="M8" sqref="M8"/>
    </sheetView>
  </sheetViews>
  <sheetFormatPr defaultColWidth="9.140625" defaultRowHeight="15"/>
  <cols>
    <col min="1" max="1" width="12.5703125" style="3" customWidth="1"/>
    <col min="2" max="2" width="9.140625" style="3"/>
    <col min="3" max="3" width="4.42578125" style="3" customWidth="1"/>
    <col min="4" max="16384" width="9.140625" style="3"/>
  </cols>
  <sheetData>
    <row r="1" spans="1:10" ht="32.25">
      <c r="A1" s="1" t="s">
        <v>411</v>
      </c>
      <c r="B1" s="2"/>
      <c r="C1" s="2"/>
      <c r="D1" s="2"/>
      <c r="E1" s="2"/>
      <c r="F1" s="2"/>
      <c r="G1" s="2"/>
      <c r="H1" s="2"/>
      <c r="I1" s="2"/>
      <c r="J1" s="2"/>
    </row>
    <row r="2" spans="1:10" ht="23.25">
      <c r="A2" s="4" t="s">
        <v>429</v>
      </c>
      <c r="B2" s="2"/>
      <c r="C2" s="2"/>
      <c r="D2" s="2"/>
      <c r="E2" s="2"/>
      <c r="F2" s="2"/>
      <c r="G2" s="2"/>
      <c r="H2" s="2"/>
      <c r="I2" s="2"/>
      <c r="J2" s="2"/>
    </row>
    <row r="3" spans="1:10">
      <c r="A3" s="6"/>
      <c r="B3" s="7"/>
      <c r="C3" s="5"/>
      <c r="D3" s="5"/>
      <c r="E3" s="5"/>
      <c r="F3" s="7"/>
      <c r="G3" s="7"/>
      <c r="H3" s="5"/>
      <c r="I3" s="5"/>
      <c r="J3" s="5"/>
    </row>
    <row r="4" spans="1:10">
      <c r="A4"/>
      <c r="B4"/>
      <c r="C4"/>
      <c r="D4"/>
      <c r="E4"/>
      <c r="F4"/>
      <c r="G4"/>
      <c r="H4"/>
      <c r="I4"/>
      <c r="J4"/>
    </row>
    <row r="5" spans="1:10" ht="86.25" customHeight="1">
      <c r="A5" s="61"/>
      <c r="B5" s="369" t="s">
        <v>412</v>
      </c>
      <c r="C5" s="369"/>
      <c r="D5" s="369"/>
      <c r="E5" s="369"/>
      <c r="F5" s="369"/>
      <c r="G5" s="369"/>
      <c r="H5" s="60"/>
      <c r="I5" s="60"/>
      <c r="J5" s="60"/>
    </row>
    <row r="6" spans="1:10">
      <c r="A6"/>
      <c r="B6"/>
      <c r="C6" s="9"/>
      <c r="D6"/>
      <c r="E6"/>
      <c r="F6"/>
      <c r="G6"/>
      <c r="H6"/>
      <c r="I6"/>
      <c r="J6"/>
    </row>
    <row r="7" spans="1:10" ht="93.95" customHeight="1">
      <c r="A7" s="306"/>
      <c r="B7" s="369" t="s">
        <v>421</v>
      </c>
      <c r="C7" s="369"/>
      <c r="D7" s="369"/>
      <c r="E7" s="369"/>
      <c r="F7" s="369"/>
      <c r="G7" s="369"/>
      <c r="H7"/>
      <c r="I7"/>
      <c r="J7"/>
    </row>
    <row r="8" spans="1:10" ht="51.95" customHeight="1">
      <c r="A8"/>
      <c r="B8" s="369" t="s">
        <v>416</v>
      </c>
      <c r="C8" s="369"/>
      <c r="D8" s="369"/>
      <c r="E8" s="369"/>
      <c r="F8" s="369"/>
      <c r="G8" s="369"/>
      <c r="H8"/>
      <c r="I8"/>
      <c r="J8"/>
    </row>
    <row r="9" spans="1:10">
      <c r="A9"/>
      <c r="B9"/>
      <c r="C9" s="9"/>
      <c r="D9"/>
      <c r="E9"/>
      <c r="F9"/>
      <c r="G9"/>
      <c r="H9"/>
      <c r="I9"/>
      <c r="J9"/>
    </row>
    <row r="10" spans="1:10">
      <c r="A10" t="s">
        <v>413</v>
      </c>
      <c r="B10"/>
      <c r="C10" s="9"/>
      <c r="D10"/>
      <c r="E10"/>
      <c r="F10"/>
      <c r="G10"/>
      <c r="H10"/>
      <c r="I10"/>
      <c r="J10"/>
    </row>
    <row r="11" spans="1:10">
      <c r="A11"/>
      <c r="B11" s="8"/>
      <c r="C11" s="9"/>
      <c r="D11"/>
      <c r="E11"/>
      <c r="F11"/>
      <c r="G11"/>
      <c r="H11"/>
      <c r="I11"/>
      <c r="J11"/>
    </row>
    <row r="12" spans="1:10" ht="15.75">
      <c r="A12"/>
      <c r="B12" s="308" t="s">
        <v>419</v>
      </c>
      <c r="C12" s="9"/>
      <c r="D12"/>
      <c r="E12"/>
      <c r="F12"/>
      <c r="G12"/>
      <c r="H12"/>
      <c r="I12"/>
      <c r="J12"/>
    </row>
    <row r="13" spans="1:10" ht="15.75">
      <c r="A13"/>
      <c r="B13" s="308" t="s">
        <v>422</v>
      </c>
      <c r="C13" s="9"/>
      <c r="D13"/>
      <c r="E13"/>
      <c r="F13"/>
      <c r="G13"/>
      <c r="H13"/>
      <c r="I13"/>
      <c r="J13"/>
    </row>
    <row r="14" spans="1:10" ht="15.75">
      <c r="A14"/>
      <c r="B14" s="308" t="s">
        <v>423</v>
      </c>
      <c r="C14" s="9"/>
      <c r="D14"/>
      <c r="E14"/>
      <c r="F14"/>
      <c r="G14"/>
      <c r="H14"/>
      <c r="I14"/>
      <c r="J14"/>
    </row>
    <row r="15" spans="1:10">
      <c r="A15"/>
      <c r="B15"/>
      <c r="C15" s="9"/>
      <c r="D15"/>
      <c r="E15"/>
      <c r="F15"/>
      <c r="G15"/>
      <c r="H15"/>
      <c r="I15"/>
      <c r="J15"/>
    </row>
    <row r="16" spans="1:10">
      <c r="A16"/>
      <c r="B16"/>
      <c r="C16" s="9"/>
      <c r="D16"/>
      <c r="E16"/>
      <c r="F16"/>
      <c r="G16"/>
      <c r="H16"/>
      <c r="I16"/>
      <c r="J16"/>
    </row>
    <row r="17" spans="1:10" ht="15.75">
      <c r="A17"/>
      <c r="B17" s="308" t="s">
        <v>424</v>
      </c>
      <c r="C17" s="9"/>
      <c r="D17"/>
      <c r="E17"/>
      <c r="F17"/>
      <c r="G17"/>
      <c r="H17"/>
      <c r="I17"/>
      <c r="J17"/>
    </row>
    <row r="18" spans="1:10" ht="15.75">
      <c r="A18"/>
      <c r="B18"/>
      <c r="C18" s="308" t="s">
        <v>425</v>
      </c>
      <c r="D18"/>
      <c r="E18"/>
      <c r="F18"/>
      <c r="G18"/>
      <c r="H18"/>
      <c r="I18"/>
      <c r="J18"/>
    </row>
    <row r="19" spans="1:10" ht="15.75">
      <c r="A19"/>
      <c r="B19"/>
      <c r="C19" s="308" t="s">
        <v>420</v>
      </c>
      <c r="D19"/>
      <c r="E19"/>
      <c r="F19"/>
      <c r="G19"/>
      <c r="H19"/>
      <c r="I19"/>
      <c r="J19"/>
    </row>
    <row r="20" spans="1:10" ht="15.75">
      <c r="A20"/>
      <c r="B20"/>
      <c r="C20" s="309"/>
      <c r="D20"/>
      <c r="E20"/>
      <c r="F20"/>
      <c r="G20"/>
      <c r="H20"/>
      <c r="I20"/>
      <c r="J20"/>
    </row>
    <row r="21" spans="1:10" ht="15.75">
      <c r="A21"/>
      <c r="B21"/>
      <c r="C21" s="308" t="s">
        <v>426</v>
      </c>
      <c r="D21"/>
      <c r="E21"/>
      <c r="F21"/>
      <c r="G21"/>
      <c r="H21"/>
      <c r="I21"/>
      <c r="J21"/>
    </row>
    <row r="22" spans="1:10" ht="15.75">
      <c r="A22"/>
      <c r="B22"/>
      <c r="C22" s="308" t="s">
        <v>427</v>
      </c>
      <c r="D22"/>
      <c r="E22"/>
      <c r="F22"/>
      <c r="G22"/>
      <c r="H22"/>
      <c r="I22"/>
      <c r="J22"/>
    </row>
    <row r="23" spans="1:10">
      <c r="A23"/>
      <c r="B23"/>
      <c r="C23" s="9"/>
      <c r="D23"/>
      <c r="E23"/>
      <c r="F23"/>
      <c r="G23"/>
      <c r="H23"/>
      <c r="I23"/>
      <c r="J23"/>
    </row>
    <row r="24" spans="1:10">
      <c r="A24"/>
      <c r="B24"/>
      <c r="C24"/>
      <c r="D24"/>
      <c r="E24"/>
      <c r="F24"/>
      <c r="G24"/>
      <c r="H24"/>
      <c r="I24"/>
      <c r="J24"/>
    </row>
    <row r="25" spans="1:10">
      <c r="A25"/>
      <c r="B25"/>
      <c r="C25"/>
      <c r="D25"/>
      <c r="E25"/>
      <c r="F25"/>
      <c r="G25"/>
      <c r="H25"/>
      <c r="I25"/>
      <c r="J25"/>
    </row>
  </sheetData>
  <mergeCells count="3">
    <mergeCell ref="B5:G5"/>
    <mergeCell ref="B7:G7"/>
    <mergeCell ref="B8:G8"/>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61759-1AA0-40A6-B797-41FE37A7AD53}">
  <sheetPr codeName="Sheet3"/>
  <dimension ref="A1:J23"/>
  <sheetViews>
    <sheetView showGridLines="0" topLeftCell="A5" workbookViewId="0">
      <selection activeCell="B17" sqref="B17"/>
    </sheetView>
  </sheetViews>
  <sheetFormatPr defaultColWidth="9.140625" defaultRowHeight="15"/>
  <cols>
    <col min="1" max="1" width="12.5703125" style="3" customWidth="1"/>
    <col min="2" max="2" width="9.140625" style="3"/>
    <col min="3" max="3" width="4.42578125" style="3" customWidth="1"/>
    <col min="4" max="16384" width="9.140625" style="3"/>
  </cols>
  <sheetData>
    <row r="1" spans="1:10" ht="32.25">
      <c r="A1" s="1" t="s">
        <v>414</v>
      </c>
      <c r="B1" s="2"/>
      <c r="C1" s="2"/>
      <c r="D1" s="2"/>
      <c r="E1" s="2"/>
      <c r="F1" s="2"/>
      <c r="G1" s="2"/>
      <c r="H1" s="2"/>
      <c r="I1" s="2"/>
      <c r="J1" s="2"/>
    </row>
    <row r="2" spans="1:10" ht="23.25">
      <c r="A2" s="4" t="s">
        <v>429</v>
      </c>
      <c r="B2" s="2"/>
      <c r="C2" s="2"/>
      <c r="D2" s="2"/>
      <c r="E2" s="2"/>
      <c r="F2" s="2"/>
      <c r="G2" s="2"/>
      <c r="H2" s="2"/>
      <c r="I2" s="2"/>
      <c r="J2" s="2"/>
    </row>
    <row r="3" spans="1:10">
      <c r="A3" s="6"/>
      <c r="B3" s="7"/>
      <c r="C3" s="5"/>
      <c r="D3" s="5"/>
      <c r="E3" s="5"/>
      <c r="F3" s="7"/>
      <c r="G3" s="7"/>
      <c r="H3" s="5"/>
      <c r="I3" s="5"/>
      <c r="J3" s="5"/>
    </row>
    <row r="4" spans="1:10">
      <c r="A4"/>
      <c r="B4"/>
      <c r="C4"/>
      <c r="D4"/>
      <c r="E4"/>
      <c r="F4"/>
      <c r="G4"/>
      <c r="H4"/>
      <c r="I4"/>
      <c r="J4"/>
    </row>
    <row r="5" spans="1:10" ht="86.25" customHeight="1">
      <c r="A5" s="61"/>
      <c r="B5" s="369" t="s">
        <v>415</v>
      </c>
      <c r="C5" s="369"/>
      <c r="D5" s="369"/>
      <c r="E5" s="369"/>
      <c r="F5" s="369"/>
      <c r="G5" s="369"/>
      <c r="H5" s="60"/>
      <c r="I5" s="60"/>
      <c r="J5" s="60"/>
    </row>
    <row r="6" spans="1:10">
      <c r="A6"/>
      <c r="B6"/>
      <c r="C6" s="9"/>
      <c r="D6"/>
      <c r="E6"/>
      <c r="F6"/>
      <c r="G6"/>
      <c r="H6"/>
      <c r="I6"/>
      <c r="J6"/>
    </row>
    <row r="7" spans="1:10" ht="15.75">
      <c r="A7"/>
      <c r="B7" s="369"/>
      <c r="C7" s="369"/>
      <c r="D7" s="369"/>
      <c r="E7" s="369"/>
      <c r="F7" s="369"/>
      <c r="G7" s="369"/>
      <c r="H7"/>
      <c r="I7"/>
      <c r="J7"/>
    </row>
    <row r="8" spans="1:10" ht="35.1" customHeight="1">
      <c r="A8">
        <v>1</v>
      </c>
      <c r="B8" s="369" t="s">
        <v>417</v>
      </c>
      <c r="C8" s="369"/>
      <c r="D8" s="369"/>
      <c r="E8" s="369"/>
      <c r="F8" s="369"/>
      <c r="G8" s="369"/>
      <c r="H8"/>
      <c r="I8"/>
      <c r="J8"/>
    </row>
    <row r="9" spans="1:10">
      <c r="A9"/>
      <c r="B9" t="s">
        <v>418</v>
      </c>
      <c r="C9" t="s">
        <v>428</v>
      </c>
      <c r="D9"/>
      <c r="E9"/>
      <c r="F9"/>
      <c r="G9"/>
      <c r="H9"/>
      <c r="I9"/>
      <c r="J9"/>
    </row>
    <row r="10" spans="1:10">
      <c r="A10"/>
      <c r="B10" s="8"/>
      <c r="C10" s="9"/>
      <c r="D10"/>
      <c r="E10"/>
      <c r="F10"/>
      <c r="G10"/>
      <c r="H10"/>
      <c r="I10"/>
      <c r="J10"/>
    </row>
    <row r="11" spans="1:10">
      <c r="A11"/>
      <c r="B11" s="8"/>
      <c r="C11" s="9"/>
      <c r="D11"/>
      <c r="E11"/>
      <c r="F11"/>
      <c r="G11"/>
      <c r="H11"/>
      <c r="I11"/>
      <c r="J11"/>
    </row>
    <row r="12" spans="1:10" ht="32.1" customHeight="1">
      <c r="A12">
        <v>2</v>
      </c>
      <c r="B12" s="369" t="s">
        <v>461</v>
      </c>
      <c r="C12" s="369"/>
      <c r="D12" s="369"/>
      <c r="E12" s="369"/>
      <c r="F12" s="369"/>
      <c r="G12" s="369"/>
      <c r="H12"/>
      <c r="I12"/>
      <c r="J12"/>
    </row>
    <row r="13" spans="1:10">
      <c r="A13"/>
      <c r="B13" t="s">
        <v>462</v>
      </c>
      <c r="C13" s="9"/>
      <c r="D13"/>
      <c r="E13"/>
      <c r="F13"/>
      <c r="G13"/>
      <c r="H13"/>
      <c r="I13"/>
      <c r="J13"/>
    </row>
    <row r="14" spans="1:10">
      <c r="A14"/>
      <c r="B14" t="s">
        <v>463</v>
      </c>
      <c r="C14" s="9"/>
      <c r="D14"/>
      <c r="E14"/>
      <c r="F14"/>
      <c r="G14"/>
      <c r="H14"/>
      <c r="I14"/>
      <c r="J14"/>
    </row>
    <row r="15" spans="1:10">
      <c r="A15"/>
      <c r="B15"/>
      <c r="C15" s="9"/>
      <c r="D15"/>
      <c r="E15"/>
      <c r="F15"/>
      <c r="G15"/>
      <c r="H15"/>
      <c r="I15"/>
      <c r="J15"/>
    </row>
    <row r="16" spans="1:10">
      <c r="A16"/>
      <c r="B16"/>
      <c r="C16" s="9"/>
      <c r="D16"/>
      <c r="E16"/>
      <c r="F16"/>
      <c r="G16"/>
      <c r="H16"/>
      <c r="I16"/>
      <c r="J16"/>
    </row>
    <row r="17" spans="1:10">
      <c r="A17"/>
      <c r="B17" s="9"/>
      <c r="C17" s="9"/>
      <c r="D17"/>
      <c r="E17"/>
      <c r="F17"/>
      <c r="G17"/>
      <c r="H17"/>
      <c r="I17"/>
      <c r="J17"/>
    </row>
    <row r="18" spans="1:10">
      <c r="A18"/>
      <c r="B18" s="9"/>
      <c r="C18" s="9"/>
      <c r="D18"/>
      <c r="E18"/>
      <c r="F18"/>
      <c r="G18"/>
      <c r="H18"/>
      <c r="I18"/>
      <c r="J18"/>
    </row>
    <row r="19" spans="1:10">
      <c r="A19"/>
      <c r="B19" s="8"/>
      <c r="C19"/>
      <c r="D19"/>
      <c r="E19"/>
      <c r="F19"/>
      <c r="G19"/>
      <c r="H19"/>
      <c r="I19"/>
      <c r="J19"/>
    </row>
    <row r="20" spans="1:10">
      <c r="A20"/>
      <c r="B20"/>
      <c r="C20" s="9"/>
      <c r="D20"/>
      <c r="E20"/>
      <c r="F20"/>
      <c r="G20"/>
      <c r="H20"/>
      <c r="I20"/>
      <c r="J20"/>
    </row>
    <row r="21" spans="1:10">
      <c r="A21"/>
      <c r="B21"/>
      <c r="C21" s="9"/>
      <c r="D21"/>
      <c r="E21"/>
      <c r="F21"/>
      <c r="G21"/>
      <c r="H21"/>
      <c r="I21"/>
      <c r="J21"/>
    </row>
    <row r="22" spans="1:10">
      <c r="A22"/>
      <c r="B22"/>
      <c r="C22"/>
      <c r="D22"/>
      <c r="E22"/>
      <c r="F22"/>
      <c r="G22"/>
      <c r="H22"/>
      <c r="I22"/>
      <c r="J22"/>
    </row>
    <row r="23" spans="1:10">
      <c r="A23"/>
      <c r="B23"/>
      <c r="C23"/>
      <c r="D23"/>
      <c r="E23"/>
      <c r="F23"/>
      <c r="G23"/>
      <c r="H23"/>
      <c r="I23"/>
      <c r="J23"/>
    </row>
  </sheetData>
  <mergeCells count="4">
    <mergeCell ref="B5:G5"/>
    <mergeCell ref="B7:G7"/>
    <mergeCell ref="B8:G8"/>
    <mergeCell ref="B12:G1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A82B2-A211-4B69-B379-DCC5FADF689A}">
  <sheetPr codeName="Sheet12">
    <tabColor rgb="FFFFFF00"/>
  </sheetPr>
  <dimension ref="A1:AA35"/>
  <sheetViews>
    <sheetView showGridLines="0" zoomScale="95" zoomScaleNormal="95" workbookViewId="0">
      <pane xSplit="6" ySplit="5" topLeftCell="G6" activePane="bottomRight" state="frozen"/>
      <selection activeCell="B22" sqref="B22:D22"/>
      <selection pane="topRight" activeCell="B22" sqref="B22:D22"/>
      <selection pane="bottomLeft" activeCell="B22" sqref="B22:D22"/>
      <selection pane="bottomRight" activeCell="G24" sqref="G24"/>
    </sheetView>
  </sheetViews>
  <sheetFormatPr defaultRowHeight="15"/>
  <cols>
    <col min="1" max="1" width="3.140625" style="3" customWidth="1"/>
    <col min="2" max="2" width="19.28515625" style="3" customWidth="1"/>
    <col min="3" max="3" width="13.28515625" style="3" bestFit="1" customWidth="1"/>
    <col min="4" max="4" width="7.28515625" style="3" customWidth="1"/>
    <col min="5" max="5" width="19.7109375" style="3" customWidth="1"/>
    <col min="6" max="6" width="10.5703125" style="3" customWidth="1"/>
    <col min="7" max="7" width="11.140625" style="3" bestFit="1" customWidth="1"/>
    <col min="8" max="27" width="10.5703125" style="3" customWidth="1"/>
    <col min="28" max="260" width="9.140625" style="3"/>
    <col min="261" max="261" width="37.5703125" style="3" customWidth="1"/>
    <col min="262" max="262" width="12.5703125" style="3" customWidth="1"/>
    <col min="263" max="271" width="13.42578125" style="3" customWidth="1"/>
    <col min="272" max="516" width="9.140625" style="3"/>
    <col min="517" max="517" width="37.5703125" style="3" customWidth="1"/>
    <col min="518" max="518" width="12.5703125" style="3" customWidth="1"/>
    <col min="519" max="527" width="13.42578125" style="3" customWidth="1"/>
    <col min="528" max="772" width="9.140625" style="3"/>
    <col min="773" max="773" width="37.5703125" style="3" customWidth="1"/>
    <col min="774" max="774" width="12.5703125" style="3" customWidth="1"/>
    <col min="775" max="783" width="13.42578125" style="3" customWidth="1"/>
    <col min="784" max="1028" width="9.140625" style="3"/>
    <col min="1029" max="1029" width="37.5703125" style="3" customWidth="1"/>
    <col min="1030" max="1030" width="12.5703125" style="3" customWidth="1"/>
    <col min="1031" max="1039" width="13.42578125" style="3" customWidth="1"/>
    <col min="1040" max="1284" width="9.140625" style="3"/>
    <col min="1285" max="1285" width="37.5703125" style="3" customWidth="1"/>
    <col min="1286" max="1286" width="12.5703125" style="3" customWidth="1"/>
    <col min="1287" max="1295" width="13.42578125" style="3" customWidth="1"/>
    <col min="1296" max="1540" width="9.140625" style="3"/>
    <col min="1541" max="1541" width="37.5703125" style="3" customWidth="1"/>
    <col min="1542" max="1542" width="12.5703125" style="3" customWidth="1"/>
    <col min="1543" max="1551" width="13.42578125" style="3" customWidth="1"/>
    <col min="1552" max="1796" width="9.140625" style="3"/>
    <col min="1797" max="1797" width="37.5703125" style="3" customWidth="1"/>
    <col min="1798" max="1798" width="12.5703125" style="3" customWidth="1"/>
    <col min="1799" max="1807" width="13.42578125" style="3" customWidth="1"/>
    <col min="1808" max="2052" width="9.140625" style="3"/>
    <col min="2053" max="2053" width="37.5703125" style="3" customWidth="1"/>
    <col min="2054" max="2054" width="12.5703125" style="3" customWidth="1"/>
    <col min="2055" max="2063" width="13.42578125" style="3" customWidth="1"/>
    <col min="2064" max="2308" width="9.140625" style="3"/>
    <col min="2309" max="2309" width="37.5703125" style="3" customWidth="1"/>
    <col min="2310" max="2310" width="12.5703125" style="3" customWidth="1"/>
    <col min="2311" max="2319" width="13.42578125" style="3" customWidth="1"/>
    <col min="2320" max="2564" width="9.140625" style="3"/>
    <col min="2565" max="2565" width="37.5703125" style="3" customWidth="1"/>
    <col min="2566" max="2566" width="12.5703125" style="3" customWidth="1"/>
    <col min="2567" max="2575" width="13.42578125" style="3" customWidth="1"/>
    <col min="2576" max="2820" width="9.140625" style="3"/>
    <col min="2821" max="2821" width="37.5703125" style="3" customWidth="1"/>
    <col min="2822" max="2822" width="12.5703125" style="3" customWidth="1"/>
    <col min="2823" max="2831" width="13.42578125" style="3" customWidth="1"/>
    <col min="2832" max="3076" width="9.140625" style="3"/>
    <col min="3077" max="3077" width="37.5703125" style="3" customWidth="1"/>
    <col min="3078" max="3078" width="12.5703125" style="3" customWidth="1"/>
    <col min="3079" max="3087" width="13.42578125" style="3" customWidth="1"/>
    <col min="3088" max="3332" width="9.140625" style="3"/>
    <col min="3333" max="3333" width="37.5703125" style="3" customWidth="1"/>
    <col min="3334" max="3334" width="12.5703125" style="3" customWidth="1"/>
    <col min="3335" max="3343" width="13.42578125" style="3" customWidth="1"/>
    <col min="3344" max="3588" width="9.140625" style="3"/>
    <col min="3589" max="3589" width="37.5703125" style="3" customWidth="1"/>
    <col min="3590" max="3590" width="12.5703125" style="3" customWidth="1"/>
    <col min="3591" max="3599" width="13.42578125" style="3" customWidth="1"/>
    <col min="3600" max="3844" width="9.140625" style="3"/>
    <col min="3845" max="3845" width="37.5703125" style="3" customWidth="1"/>
    <col min="3846" max="3846" width="12.5703125" style="3" customWidth="1"/>
    <col min="3847" max="3855" width="13.42578125" style="3" customWidth="1"/>
    <col min="3856" max="4100" width="9.140625" style="3"/>
    <col min="4101" max="4101" width="37.5703125" style="3" customWidth="1"/>
    <col min="4102" max="4102" width="12.5703125" style="3" customWidth="1"/>
    <col min="4103" max="4111" width="13.42578125" style="3" customWidth="1"/>
    <col min="4112" max="4356" width="9.140625" style="3"/>
    <col min="4357" max="4357" width="37.5703125" style="3" customWidth="1"/>
    <col min="4358" max="4358" width="12.5703125" style="3" customWidth="1"/>
    <col min="4359" max="4367" width="13.42578125" style="3" customWidth="1"/>
    <col min="4368" max="4612" width="9.140625" style="3"/>
    <col min="4613" max="4613" width="37.5703125" style="3" customWidth="1"/>
    <col min="4614" max="4614" width="12.5703125" style="3" customWidth="1"/>
    <col min="4615" max="4623" width="13.42578125" style="3" customWidth="1"/>
    <col min="4624" max="4868" width="9.140625" style="3"/>
    <col min="4869" max="4869" width="37.5703125" style="3" customWidth="1"/>
    <col min="4870" max="4870" width="12.5703125" style="3" customWidth="1"/>
    <col min="4871" max="4879" width="13.42578125" style="3" customWidth="1"/>
    <col min="4880" max="5124" width="9.140625" style="3"/>
    <col min="5125" max="5125" width="37.5703125" style="3" customWidth="1"/>
    <col min="5126" max="5126" width="12.5703125" style="3" customWidth="1"/>
    <col min="5127" max="5135" width="13.42578125" style="3" customWidth="1"/>
    <col min="5136" max="5380" width="9.140625" style="3"/>
    <col min="5381" max="5381" width="37.5703125" style="3" customWidth="1"/>
    <col min="5382" max="5382" width="12.5703125" style="3" customWidth="1"/>
    <col min="5383" max="5391" width="13.42578125" style="3" customWidth="1"/>
    <col min="5392" max="5636" width="9.140625" style="3"/>
    <col min="5637" max="5637" width="37.5703125" style="3" customWidth="1"/>
    <col min="5638" max="5638" width="12.5703125" style="3" customWidth="1"/>
    <col min="5639" max="5647" width="13.42578125" style="3" customWidth="1"/>
    <col min="5648" max="5892" width="9.140625" style="3"/>
    <col min="5893" max="5893" width="37.5703125" style="3" customWidth="1"/>
    <col min="5894" max="5894" width="12.5703125" style="3" customWidth="1"/>
    <col min="5895" max="5903" width="13.42578125" style="3" customWidth="1"/>
    <col min="5904" max="6148" width="9.140625" style="3"/>
    <col min="6149" max="6149" width="37.5703125" style="3" customWidth="1"/>
    <col min="6150" max="6150" width="12.5703125" style="3" customWidth="1"/>
    <col min="6151" max="6159" width="13.42578125" style="3" customWidth="1"/>
    <col min="6160" max="6404" width="9.140625" style="3"/>
    <col min="6405" max="6405" width="37.5703125" style="3" customWidth="1"/>
    <col min="6406" max="6406" width="12.5703125" style="3" customWidth="1"/>
    <col min="6407" max="6415" width="13.42578125" style="3" customWidth="1"/>
    <col min="6416" max="6660" width="9.140625" style="3"/>
    <col min="6661" max="6661" width="37.5703125" style="3" customWidth="1"/>
    <col min="6662" max="6662" width="12.5703125" style="3" customWidth="1"/>
    <col min="6663" max="6671" width="13.42578125" style="3" customWidth="1"/>
    <col min="6672" max="6916" width="9.140625" style="3"/>
    <col min="6917" max="6917" width="37.5703125" style="3" customWidth="1"/>
    <col min="6918" max="6918" width="12.5703125" style="3" customWidth="1"/>
    <col min="6919" max="6927" width="13.42578125" style="3" customWidth="1"/>
    <col min="6928" max="7172" width="9.140625" style="3"/>
    <col min="7173" max="7173" width="37.5703125" style="3" customWidth="1"/>
    <col min="7174" max="7174" width="12.5703125" style="3" customWidth="1"/>
    <col min="7175" max="7183" width="13.42578125" style="3" customWidth="1"/>
    <col min="7184" max="7428" width="9.140625" style="3"/>
    <col min="7429" max="7429" width="37.5703125" style="3" customWidth="1"/>
    <col min="7430" max="7430" width="12.5703125" style="3" customWidth="1"/>
    <col min="7431" max="7439" width="13.42578125" style="3" customWidth="1"/>
    <col min="7440" max="7684" width="9.140625" style="3"/>
    <col min="7685" max="7685" width="37.5703125" style="3" customWidth="1"/>
    <col min="7686" max="7686" width="12.5703125" style="3" customWidth="1"/>
    <col min="7687" max="7695" width="13.42578125" style="3" customWidth="1"/>
    <col min="7696" max="7940" width="9.140625" style="3"/>
    <col min="7941" max="7941" width="37.5703125" style="3" customWidth="1"/>
    <col min="7942" max="7942" width="12.5703125" style="3" customWidth="1"/>
    <col min="7943" max="7951" width="13.42578125" style="3" customWidth="1"/>
    <col min="7952" max="8196" width="9.140625" style="3"/>
    <col min="8197" max="8197" width="37.5703125" style="3" customWidth="1"/>
    <col min="8198" max="8198" width="12.5703125" style="3" customWidth="1"/>
    <col min="8199" max="8207" width="13.42578125" style="3" customWidth="1"/>
    <col min="8208" max="8452" width="9.140625" style="3"/>
    <col min="8453" max="8453" width="37.5703125" style="3" customWidth="1"/>
    <col min="8454" max="8454" width="12.5703125" style="3" customWidth="1"/>
    <col min="8455" max="8463" width="13.42578125" style="3" customWidth="1"/>
    <col min="8464" max="8708" width="9.140625" style="3"/>
    <col min="8709" max="8709" width="37.5703125" style="3" customWidth="1"/>
    <col min="8710" max="8710" width="12.5703125" style="3" customWidth="1"/>
    <col min="8711" max="8719" width="13.42578125" style="3" customWidth="1"/>
    <col min="8720" max="8964" width="9.140625" style="3"/>
    <col min="8965" max="8965" width="37.5703125" style="3" customWidth="1"/>
    <col min="8966" max="8966" width="12.5703125" style="3" customWidth="1"/>
    <col min="8967" max="8975" width="13.42578125" style="3" customWidth="1"/>
    <col min="8976" max="9220" width="9.140625" style="3"/>
    <col min="9221" max="9221" width="37.5703125" style="3" customWidth="1"/>
    <col min="9222" max="9222" width="12.5703125" style="3" customWidth="1"/>
    <col min="9223" max="9231" width="13.42578125" style="3" customWidth="1"/>
    <col min="9232" max="9476" width="9.140625" style="3"/>
    <col min="9477" max="9477" width="37.5703125" style="3" customWidth="1"/>
    <col min="9478" max="9478" width="12.5703125" style="3" customWidth="1"/>
    <col min="9479" max="9487" width="13.42578125" style="3" customWidth="1"/>
    <col min="9488" max="9732" width="9.140625" style="3"/>
    <col min="9733" max="9733" width="37.5703125" style="3" customWidth="1"/>
    <col min="9734" max="9734" width="12.5703125" style="3" customWidth="1"/>
    <col min="9735" max="9743" width="13.42578125" style="3" customWidth="1"/>
    <col min="9744" max="9988" width="9.140625" style="3"/>
    <col min="9989" max="9989" width="37.5703125" style="3" customWidth="1"/>
    <col min="9990" max="9990" width="12.5703125" style="3" customWidth="1"/>
    <col min="9991" max="9999" width="13.42578125" style="3" customWidth="1"/>
    <col min="10000" max="10244" width="9.140625" style="3"/>
    <col min="10245" max="10245" width="37.5703125" style="3" customWidth="1"/>
    <col min="10246" max="10246" width="12.5703125" style="3" customWidth="1"/>
    <col min="10247" max="10255" width="13.42578125" style="3" customWidth="1"/>
    <col min="10256" max="10500" width="9.140625" style="3"/>
    <col min="10501" max="10501" width="37.5703125" style="3" customWidth="1"/>
    <col min="10502" max="10502" width="12.5703125" style="3" customWidth="1"/>
    <col min="10503" max="10511" width="13.42578125" style="3" customWidth="1"/>
    <col min="10512" max="10756" width="9.140625" style="3"/>
    <col min="10757" max="10757" width="37.5703125" style="3" customWidth="1"/>
    <col min="10758" max="10758" width="12.5703125" style="3" customWidth="1"/>
    <col min="10759" max="10767" width="13.42578125" style="3" customWidth="1"/>
    <col min="10768" max="11012" width="9.140625" style="3"/>
    <col min="11013" max="11013" width="37.5703125" style="3" customWidth="1"/>
    <col min="11014" max="11014" width="12.5703125" style="3" customWidth="1"/>
    <col min="11015" max="11023" width="13.42578125" style="3" customWidth="1"/>
    <col min="11024" max="11268" width="9.140625" style="3"/>
    <col min="11269" max="11269" width="37.5703125" style="3" customWidth="1"/>
    <col min="11270" max="11270" width="12.5703125" style="3" customWidth="1"/>
    <col min="11271" max="11279" width="13.42578125" style="3" customWidth="1"/>
    <col min="11280" max="11524" width="9.140625" style="3"/>
    <col min="11525" max="11525" width="37.5703125" style="3" customWidth="1"/>
    <col min="11526" max="11526" width="12.5703125" style="3" customWidth="1"/>
    <col min="11527" max="11535" width="13.42578125" style="3" customWidth="1"/>
    <col min="11536" max="11780" width="9.140625" style="3"/>
    <col min="11781" max="11781" width="37.5703125" style="3" customWidth="1"/>
    <col min="11782" max="11782" width="12.5703125" style="3" customWidth="1"/>
    <col min="11783" max="11791" width="13.42578125" style="3" customWidth="1"/>
    <col min="11792" max="12036" width="9.140625" style="3"/>
    <col min="12037" max="12037" width="37.5703125" style="3" customWidth="1"/>
    <col min="12038" max="12038" width="12.5703125" style="3" customWidth="1"/>
    <col min="12039" max="12047" width="13.42578125" style="3" customWidth="1"/>
    <col min="12048" max="12292" width="9.140625" style="3"/>
    <col min="12293" max="12293" width="37.5703125" style="3" customWidth="1"/>
    <col min="12294" max="12294" width="12.5703125" style="3" customWidth="1"/>
    <col min="12295" max="12303" width="13.42578125" style="3" customWidth="1"/>
    <col min="12304" max="12548" width="9.140625" style="3"/>
    <col min="12549" max="12549" width="37.5703125" style="3" customWidth="1"/>
    <col min="12550" max="12550" width="12.5703125" style="3" customWidth="1"/>
    <col min="12551" max="12559" width="13.42578125" style="3" customWidth="1"/>
    <col min="12560" max="12804" width="9.140625" style="3"/>
    <col min="12805" max="12805" width="37.5703125" style="3" customWidth="1"/>
    <col min="12806" max="12806" width="12.5703125" style="3" customWidth="1"/>
    <col min="12807" max="12815" width="13.42578125" style="3" customWidth="1"/>
    <col min="12816" max="13060" width="9.140625" style="3"/>
    <col min="13061" max="13061" width="37.5703125" style="3" customWidth="1"/>
    <col min="13062" max="13062" width="12.5703125" style="3" customWidth="1"/>
    <col min="13063" max="13071" width="13.42578125" style="3" customWidth="1"/>
    <col min="13072" max="13316" width="9.140625" style="3"/>
    <col min="13317" max="13317" width="37.5703125" style="3" customWidth="1"/>
    <col min="13318" max="13318" width="12.5703125" style="3" customWidth="1"/>
    <col min="13319" max="13327" width="13.42578125" style="3" customWidth="1"/>
    <col min="13328" max="13572" width="9.140625" style="3"/>
    <col min="13573" max="13573" width="37.5703125" style="3" customWidth="1"/>
    <col min="13574" max="13574" width="12.5703125" style="3" customWidth="1"/>
    <col min="13575" max="13583" width="13.42578125" style="3" customWidth="1"/>
    <col min="13584" max="13828" width="9.140625" style="3"/>
    <col min="13829" max="13829" width="37.5703125" style="3" customWidth="1"/>
    <col min="13830" max="13830" width="12.5703125" style="3" customWidth="1"/>
    <col min="13831" max="13839" width="13.42578125" style="3" customWidth="1"/>
    <col min="13840" max="14084" width="9.140625" style="3"/>
    <col min="14085" max="14085" width="37.5703125" style="3" customWidth="1"/>
    <col min="14086" max="14086" width="12.5703125" style="3" customWidth="1"/>
    <col min="14087" max="14095" width="13.42578125" style="3" customWidth="1"/>
    <col min="14096" max="14340" width="9.140625" style="3"/>
    <col min="14341" max="14341" width="37.5703125" style="3" customWidth="1"/>
    <col min="14342" max="14342" width="12.5703125" style="3" customWidth="1"/>
    <col min="14343" max="14351" width="13.42578125" style="3" customWidth="1"/>
    <col min="14352" max="14596" width="9.140625" style="3"/>
    <col min="14597" max="14597" width="37.5703125" style="3" customWidth="1"/>
    <col min="14598" max="14598" width="12.5703125" style="3" customWidth="1"/>
    <col min="14599" max="14607" width="13.42578125" style="3" customWidth="1"/>
    <col min="14608" max="14852" width="9.140625" style="3"/>
    <col min="14853" max="14853" width="37.5703125" style="3" customWidth="1"/>
    <col min="14854" max="14854" width="12.5703125" style="3" customWidth="1"/>
    <col min="14855" max="14863" width="13.42578125" style="3" customWidth="1"/>
    <col min="14864" max="15108" width="9.140625" style="3"/>
    <col min="15109" max="15109" width="37.5703125" style="3" customWidth="1"/>
    <col min="15110" max="15110" width="12.5703125" style="3" customWidth="1"/>
    <col min="15111" max="15119" width="13.42578125" style="3" customWidth="1"/>
    <col min="15120" max="15364" width="9.140625" style="3"/>
    <col min="15365" max="15365" width="37.5703125" style="3" customWidth="1"/>
    <col min="15366" max="15366" width="12.5703125" style="3" customWidth="1"/>
    <col min="15367" max="15375" width="13.42578125" style="3" customWidth="1"/>
    <col min="15376" max="15620" width="9.140625" style="3"/>
    <col min="15621" max="15621" width="37.5703125" style="3" customWidth="1"/>
    <col min="15622" max="15622" width="12.5703125" style="3" customWidth="1"/>
    <col min="15623" max="15631" width="13.42578125" style="3" customWidth="1"/>
    <col min="15632" max="15876" width="9.140625" style="3"/>
    <col min="15877" max="15877" width="37.5703125" style="3" customWidth="1"/>
    <col min="15878" max="15878" width="12.5703125" style="3" customWidth="1"/>
    <col min="15879" max="15887" width="13.42578125" style="3" customWidth="1"/>
    <col min="15888" max="16132" width="9.140625" style="3"/>
    <col min="16133" max="16133" width="37.5703125" style="3" customWidth="1"/>
    <col min="16134" max="16134" width="12.5703125" style="3" customWidth="1"/>
    <col min="16135" max="16143" width="13.42578125" style="3" customWidth="1"/>
    <col min="16144" max="16384" width="9.140625" style="3"/>
  </cols>
  <sheetData>
    <row r="1" spans="1:27" ht="32.25">
      <c r="A1" s="1"/>
      <c r="B1" s="2"/>
      <c r="C1" s="2"/>
      <c r="E1" s="1" t="s">
        <v>24</v>
      </c>
      <c r="F1" s="2"/>
      <c r="G1" s="2"/>
      <c r="H1" s="2"/>
      <c r="I1" s="2"/>
      <c r="J1" s="2"/>
      <c r="K1" s="2"/>
      <c r="L1" s="2"/>
      <c r="M1" s="2"/>
      <c r="N1" s="2"/>
      <c r="O1" s="2"/>
      <c r="P1" s="2"/>
      <c r="Q1" s="2"/>
      <c r="R1" s="2"/>
      <c r="S1" s="2"/>
      <c r="T1" s="2"/>
      <c r="U1" s="2"/>
      <c r="V1" s="2"/>
      <c r="W1" s="2"/>
      <c r="X1" s="2"/>
      <c r="Y1" s="2"/>
      <c r="Z1" s="2"/>
      <c r="AA1" s="2"/>
    </row>
    <row r="2" spans="1:27" ht="23.25">
      <c r="A2" s="10" t="s">
        <v>10</v>
      </c>
      <c r="B2" s="2"/>
      <c r="C2" s="2"/>
      <c r="E2" s="155" t="s">
        <v>341</v>
      </c>
      <c r="F2" s="2"/>
      <c r="G2" s="2"/>
      <c r="H2" s="2"/>
      <c r="I2" s="2"/>
      <c r="J2" s="2"/>
      <c r="K2" s="2"/>
      <c r="L2" s="2"/>
      <c r="M2" s="2"/>
      <c r="N2" s="2"/>
      <c r="O2" s="2"/>
      <c r="P2" s="2"/>
      <c r="Q2" s="2"/>
      <c r="R2" s="2"/>
      <c r="S2" s="2"/>
      <c r="T2" s="2"/>
      <c r="U2" s="2"/>
      <c r="V2" s="2"/>
      <c r="W2" s="2"/>
      <c r="X2" s="2"/>
      <c r="Y2" s="2"/>
      <c r="Z2" s="2"/>
      <c r="AA2" s="2"/>
    </row>
    <row r="3" spans="1:27" s="17" customFormat="1" ht="21" thickBot="1">
      <c r="A3" s="25" t="s">
        <v>22</v>
      </c>
      <c r="B3" s="15"/>
      <c r="C3" s="15"/>
      <c r="E3" s="11"/>
      <c r="F3" s="12"/>
      <c r="G3" s="12"/>
      <c r="H3" s="12"/>
      <c r="I3" s="12"/>
      <c r="J3" s="12"/>
      <c r="K3" s="12"/>
      <c r="L3" s="12"/>
      <c r="M3" s="12"/>
      <c r="N3" s="12"/>
      <c r="O3" s="12"/>
      <c r="P3" s="12"/>
      <c r="Q3" s="12"/>
      <c r="R3" s="12"/>
      <c r="S3" s="12"/>
      <c r="T3" s="12"/>
      <c r="U3" s="12"/>
      <c r="V3" s="12"/>
      <c r="W3" s="12"/>
      <c r="X3" s="12"/>
      <c r="Y3" s="12"/>
      <c r="Z3" s="12"/>
      <c r="AA3" s="12"/>
    </row>
    <row r="4" spans="1:27">
      <c r="A4" s="105" t="s">
        <v>339</v>
      </c>
      <c r="B4"/>
      <c r="C4" s="62" t="e">
        <f>HLOOKUP($C$12,#REF!,3,FALSE)</f>
        <v>#REF!</v>
      </c>
      <c r="E4" s="114" t="s">
        <v>27</v>
      </c>
      <c r="F4" s="102">
        <v>0</v>
      </c>
      <c r="G4" s="102">
        <v>1</v>
      </c>
      <c r="H4" s="102">
        <v>2</v>
      </c>
      <c r="I4" s="102">
        <v>3</v>
      </c>
      <c r="J4" s="102">
        <v>4</v>
      </c>
      <c r="K4" s="102">
        <v>5</v>
      </c>
      <c r="L4" s="102">
        <v>6</v>
      </c>
      <c r="M4" s="102">
        <v>7</v>
      </c>
      <c r="N4" s="102">
        <v>8</v>
      </c>
      <c r="O4" s="102">
        <v>9</v>
      </c>
      <c r="P4" s="102">
        <v>10</v>
      </c>
      <c r="Q4" s="102">
        <v>11</v>
      </c>
      <c r="R4" s="102">
        <v>12</v>
      </c>
      <c r="S4" s="102">
        <v>13</v>
      </c>
      <c r="T4" s="102">
        <v>14</v>
      </c>
      <c r="U4" s="102">
        <v>15</v>
      </c>
      <c r="V4" s="102">
        <v>16</v>
      </c>
      <c r="W4" s="102">
        <v>17</v>
      </c>
      <c r="X4" s="102">
        <v>18</v>
      </c>
      <c r="Y4" s="102">
        <v>19</v>
      </c>
      <c r="Z4" s="102">
        <v>20</v>
      </c>
      <c r="AA4" s="102">
        <v>21</v>
      </c>
    </row>
    <row r="5" spans="1:27" ht="15.75" thickBot="1">
      <c r="A5" s="105" t="s">
        <v>340</v>
      </c>
      <c r="B5"/>
      <c r="C5" s="62">
        <v>0</v>
      </c>
      <c r="E5" s="14"/>
      <c r="F5" s="229">
        <v>2022</v>
      </c>
      <c r="G5" s="229">
        <v>2023</v>
      </c>
      <c r="H5" s="229">
        <v>2024</v>
      </c>
      <c r="I5" s="229">
        <v>2025</v>
      </c>
      <c r="J5" s="229">
        <v>2026</v>
      </c>
      <c r="K5" s="229">
        <v>2027</v>
      </c>
      <c r="L5" s="229">
        <v>2028</v>
      </c>
      <c r="M5" s="229">
        <v>2029</v>
      </c>
      <c r="N5" s="229">
        <v>2030</v>
      </c>
      <c r="O5" s="229">
        <v>2031</v>
      </c>
      <c r="P5" s="229">
        <v>2032</v>
      </c>
      <c r="Q5" s="229">
        <v>2033</v>
      </c>
      <c r="R5" s="229">
        <v>2034</v>
      </c>
      <c r="S5" s="229">
        <v>2035</v>
      </c>
      <c r="T5" s="229">
        <v>2036</v>
      </c>
      <c r="U5" s="229">
        <v>2037</v>
      </c>
      <c r="V5" s="229">
        <v>2038</v>
      </c>
      <c r="W5" s="229">
        <v>2039</v>
      </c>
      <c r="X5" s="229">
        <v>2040</v>
      </c>
      <c r="Y5" s="229">
        <v>2041</v>
      </c>
      <c r="Z5" s="229">
        <v>2042</v>
      </c>
      <c r="AA5" s="229">
        <v>2043</v>
      </c>
    </row>
    <row r="6" spans="1:27">
      <c r="A6" s="12"/>
      <c r="B6"/>
      <c r="C6" s="62"/>
      <c r="E6" s="124" t="s">
        <v>174</v>
      </c>
      <c r="F6" s="225" t="e">
        <f>-#REF!</f>
        <v>#REF!</v>
      </c>
      <c r="G6" s="225"/>
      <c r="H6" s="225"/>
      <c r="I6" s="225"/>
      <c r="J6" s="225"/>
      <c r="K6" s="225"/>
      <c r="L6" s="225"/>
      <c r="M6" s="225"/>
      <c r="N6" s="225"/>
      <c r="O6" s="225"/>
      <c r="P6" s="225"/>
      <c r="Q6" s="225"/>
      <c r="R6" s="225"/>
      <c r="S6" s="225"/>
      <c r="T6" s="225"/>
      <c r="U6" s="225"/>
      <c r="V6" s="225"/>
      <c r="W6" s="225"/>
      <c r="X6" s="225"/>
      <c r="Y6" s="225"/>
      <c r="Z6" s="225"/>
      <c r="AA6" s="225"/>
    </row>
    <row r="7" spans="1:27">
      <c r="A7" s="105" t="s">
        <v>72</v>
      </c>
      <c r="B7" s="151"/>
      <c r="C7" s="62"/>
      <c r="E7" s="124" t="s">
        <v>173</v>
      </c>
      <c r="F7" s="226"/>
      <c r="G7" s="225" t="e">
        <f>IF(G$4&lt;=$C$20,#REF!*(1+$C$23)^G$4,0)</f>
        <v>#REF!</v>
      </c>
      <c r="H7" s="225" t="e">
        <f>IF(H$4&lt;=$C$20,#REF!*(1+$C$23)^H$4,0)</f>
        <v>#REF!</v>
      </c>
      <c r="I7" s="225" t="e">
        <f>IF(I$4&lt;=$C$20,#REF!*(1+$C$23)^I$4,0)</f>
        <v>#REF!</v>
      </c>
      <c r="J7" s="225" t="e">
        <f>IF(J$4&lt;=$C$20,#REF!*(1+$C$23)^J$4,0)</f>
        <v>#REF!</v>
      </c>
      <c r="K7" s="225" t="e">
        <f>IF(K$4&lt;=$C$20,#REF!*(1+$C$23)^K$4,0)</f>
        <v>#REF!</v>
      </c>
      <c r="L7" s="225" t="e">
        <f>IF(L$4&lt;=$C$20,#REF!*(1+$C$23)^L$4,0)</f>
        <v>#REF!</v>
      </c>
      <c r="M7" s="225" t="e">
        <f>IF(M$4&lt;=$C$20,#REF!*(1+$C$23)^M$4,0)</f>
        <v>#REF!</v>
      </c>
      <c r="N7" s="225" t="e">
        <f>IF(N$4&lt;=$C$20,#REF!*(1+$C$23)^N$4,0)</f>
        <v>#REF!</v>
      </c>
      <c r="O7" s="225" t="e">
        <f>IF(O$4&lt;=$C$20,#REF!*(1+$C$23)^O$4,0)</f>
        <v>#REF!</v>
      </c>
      <c r="P7" s="225" t="e">
        <f>IF(P$4&lt;=$C$20,#REF!*(1+$C$23)^P$4,0)</f>
        <v>#REF!</v>
      </c>
      <c r="Q7" s="225" t="e">
        <f>IF(Q$4&lt;=$C$20,#REF!*(1+$C$23)^Q$4,0)</f>
        <v>#REF!</v>
      </c>
      <c r="R7" s="225" t="e">
        <f>IF(R$4&lt;=$C$20,#REF!*(1+$C$23)^R$4,0)</f>
        <v>#REF!</v>
      </c>
      <c r="S7" s="225" t="e">
        <f>IF(S$4&lt;=$C$20,#REF!*(1+$C$23)^S$4,0)</f>
        <v>#REF!</v>
      </c>
      <c r="T7" s="225" t="e">
        <f>IF(T$4&lt;=$C$20,#REF!*(1+$C$23)^T$4,0)</f>
        <v>#REF!</v>
      </c>
      <c r="U7" s="225" t="e">
        <f>IF(U$4&lt;=$C$20,#REF!*(1+$C$23)^U$4,0)</f>
        <v>#REF!</v>
      </c>
      <c r="V7" s="225" t="e">
        <f>IF(V$4&lt;=$C$20,#REF!*(1+$C$23)^V$4,0)</f>
        <v>#REF!</v>
      </c>
      <c r="W7" s="225" t="e">
        <f>IF(W$4&lt;=$C$20,#REF!*(1+$C$23)^W$4,0)</f>
        <v>#REF!</v>
      </c>
      <c r="X7" s="225" t="e">
        <f>IF(X$4&lt;=$C$20,#REF!*(1+$C$23)^X$4,0)</f>
        <v>#REF!</v>
      </c>
      <c r="Y7" s="225" t="e">
        <f>IF(Y$4&lt;=$C$20,#REF!*(1+$C$23)^Y$4,0)</f>
        <v>#REF!</v>
      </c>
      <c r="Z7" s="225" t="e">
        <f>IF(Z$4&lt;=$C$20,#REF!*(1+$C$23)^Z$4,0)</f>
        <v>#REF!</v>
      </c>
      <c r="AA7" s="225" t="e">
        <f>IF(AA$4&lt;=$C$20,#REF!*(1+$C$23)^AA$4,0)</f>
        <v>#REF!</v>
      </c>
    </row>
    <row r="8" spans="1:27">
      <c r="A8" s="105" t="s">
        <v>326</v>
      </c>
      <c r="B8"/>
      <c r="C8" s="26" t="e">
        <f>INDEX(#REF!,MATCH(A8,#REF!,0),MATCH($C$12,#REF!,0))</f>
        <v>#REF!</v>
      </c>
      <c r="E8" s="113" t="s">
        <v>323</v>
      </c>
      <c r="F8" s="226"/>
      <c r="G8" s="225" t="e">
        <f>IF(G$4&lt;=$C$20,-#REF!*(1+$C$23)^G4,0)</f>
        <v>#REF!</v>
      </c>
      <c r="H8" s="225" t="e">
        <f>IF(H$4&lt;=$C$20,-#REF!*(1+$C$23)^H$4,0)</f>
        <v>#REF!</v>
      </c>
      <c r="I8" s="225" t="e">
        <f>IF(I$4&lt;=$C$20,-#REF!*(1+$C$23)^I$4,0)</f>
        <v>#REF!</v>
      </c>
      <c r="J8" s="225" t="e">
        <f>IF(J$4&lt;=$C$20,-#REF!*(1+$C$23)^J$4,0)</f>
        <v>#REF!</v>
      </c>
      <c r="K8" s="225" t="e">
        <f>IF(K$4&lt;=$C$20,-#REF!*(1+$C$23)^K$4,0)</f>
        <v>#REF!</v>
      </c>
      <c r="L8" s="225" t="e">
        <f>IF(L$4&lt;=$C$20,-#REF!*(1+$C$23)^L$4,0)</f>
        <v>#REF!</v>
      </c>
      <c r="M8" s="225" t="e">
        <f>IF(M$4&lt;=$C$20,-#REF!*(1+$C$23)^M$4,0)</f>
        <v>#REF!</v>
      </c>
      <c r="N8" s="225" t="e">
        <f>IF(N$4&lt;=$C$20,-#REF!*(1+$C$23)^N$4,0)</f>
        <v>#REF!</v>
      </c>
      <c r="O8" s="225" t="e">
        <f>IF(O$4&lt;=$C$20,-#REF!*(1+$C$23)^O$4,0)</f>
        <v>#REF!</v>
      </c>
      <c r="P8" s="225" t="e">
        <f>IF(P$4&lt;=$C$20,-#REF!*(1+$C$23)^P$4,0)</f>
        <v>#REF!</v>
      </c>
      <c r="Q8" s="225" t="e">
        <f>IF(Q$4&lt;=$C$20,-#REF!*(1+$C$23)^Q$4,0)</f>
        <v>#REF!</v>
      </c>
      <c r="R8" s="225" t="e">
        <f>IF(R$4&lt;=$C$20,-#REF!*(1+$C$23)^R$4,0)</f>
        <v>#REF!</v>
      </c>
      <c r="S8" s="225" t="e">
        <f>IF(S$4&lt;=$C$20,-#REF!*(1+$C$23)^S$4,0)</f>
        <v>#REF!</v>
      </c>
      <c r="T8" s="225" t="e">
        <f>IF(T$4&lt;=$C$20,-#REF!*(1+$C$23)^T$4,0)</f>
        <v>#REF!</v>
      </c>
      <c r="U8" s="225" t="e">
        <f>IF(U$4&lt;=$C$20,-#REF!*(1+$C$23)^U$4,0)</f>
        <v>#REF!</v>
      </c>
      <c r="V8" s="225" t="e">
        <f>IF(V$4&lt;=$C$20,-#REF!*(1+$C$23)^V$4,0)</f>
        <v>#REF!</v>
      </c>
      <c r="W8" s="225" t="e">
        <f>IF(W$4&lt;=$C$20,-#REF!*(1+$C$23)^W$4,0)</f>
        <v>#REF!</v>
      </c>
      <c r="X8" s="225" t="e">
        <f>IF(X$4&lt;=$C$20,-#REF!*(1+$C$23)^X$4,0)</f>
        <v>#REF!</v>
      </c>
      <c r="Y8" s="225" t="e">
        <f>IF(Y$4&lt;=$C$20,-#REF!*(1+$C$23)^Y$4,0)</f>
        <v>#REF!</v>
      </c>
      <c r="Z8" s="225" t="e">
        <f>IF(Z$4&lt;=$C$20,-#REF!*(1+$C$23)^Z$4,0)</f>
        <v>#REF!</v>
      </c>
      <c r="AA8" s="225" t="e">
        <f>IF(AA$4&lt;=$C$20,-#REF!*(1+$C$23)^AA$4,0)</f>
        <v>#REF!</v>
      </c>
    </row>
    <row r="9" spans="1:27">
      <c r="A9" s="105" t="s">
        <v>325</v>
      </c>
      <c r="B9"/>
      <c r="C9" s="26" t="e">
        <f>INDEX(#REF!,MATCH(A9,#REF!,0),MATCH($C$12,#REF!,0))</f>
        <v>#REF!</v>
      </c>
      <c r="E9" s="113" t="s">
        <v>351</v>
      </c>
      <c r="F9" s="226"/>
      <c r="G9" s="225" t="e">
        <f>IF(G$4&lt;=$C$20,IF(AND($C$12="Worst Case",G4&gt;1,0),0,-#REF!*(1+$C$27)^G$4),0)</f>
        <v>#REF!</v>
      </c>
      <c r="H9" s="225" t="e">
        <f>IF(H$4&lt;=$C$20,IF(AND($C$12="Worst Case",H4&gt;1),0,-#REF!*(1+$C$27)^H$4),0)</f>
        <v>#REF!</v>
      </c>
      <c r="I9" s="225" t="e">
        <f>IF(I$4&lt;=$C$20,IF(AND($C$12="Worst Case",I4&gt;1),0,-#REF!*(1+$C$27)^I$4),0)</f>
        <v>#REF!</v>
      </c>
      <c r="J9" s="225" t="e">
        <f>IF(J$4&lt;=$C$20,IF(AND($C$12="Worst Case",J4&gt;1),0,-#REF!*(1+$C$27)^J$4),0)</f>
        <v>#REF!</v>
      </c>
      <c r="K9" s="225" t="e">
        <f>IF(K$4&lt;=$C$20,IF(AND($C$12="Worst Case",K4&gt;1),0,-#REF!*(1+$C$27)^K$4),0)</f>
        <v>#REF!</v>
      </c>
      <c r="L9" s="225" t="e">
        <f>IF(L$4&lt;=$C$20,IF(AND($C$12="Worst Case",L4&gt;1),0,-#REF!*(1+$C$27)^L$4),0)</f>
        <v>#REF!</v>
      </c>
      <c r="M9" s="225" t="e">
        <f>IF(M$4&lt;=$C$20,IF(AND($C$12="Worst Case",M4&gt;1),0,-#REF!*(1+$C$27)^M$4),0)</f>
        <v>#REF!</v>
      </c>
      <c r="N9" s="225" t="e">
        <f>IF(N$4&lt;=$C$20,IF(AND($C$12="Worst Case",N4&gt;1),0,-#REF!*(1+$C$27)^N$4),0)</f>
        <v>#REF!</v>
      </c>
      <c r="O9" s="225" t="e">
        <f>IF(O$4&lt;=$C$20,IF(AND($C$12="Worst Case",O4&gt;1),0,-#REF!*(1+$C$27)^O$4),0)</f>
        <v>#REF!</v>
      </c>
      <c r="P9" s="225" t="e">
        <f>IF(P$4&lt;=$C$20,IF(AND($C$12="Worst Case",P4&gt;1),0,-#REF!*(1+$C$27)^P$4),0)</f>
        <v>#REF!</v>
      </c>
      <c r="Q9" s="225" t="e">
        <f>IF(Q$4&lt;=$C$20,IF(AND($C$12="Worst Case",Q4&gt;1),0,-#REF!*(1+$C$27)^Q$4),0)</f>
        <v>#REF!</v>
      </c>
      <c r="R9" s="225" t="e">
        <f>IF(R$4&lt;=$C$20,IF(AND($C$12="Worst Case",R4&gt;1),0,-#REF!*(1+$C$27)^R$4),0)</f>
        <v>#REF!</v>
      </c>
      <c r="S9" s="225" t="e">
        <f>IF(S$4&lt;=$C$20,IF(AND($C$12="Worst Case",S4&gt;1),0,-#REF!*(1+$C$27)^S$4),0)</f>
        <v>#REF!</v>
      </c>
      <c r="T9" s="225" t="e">
        <f>IF(T$4&lt;=$C$20,IF(AND($C$12="Worst Case",T4&gt;1),0,-#REF!*(1+$C$27)^T$4),0)</f>
        <v>#REF!</v>
      </c>
      <c r="U9" s="225" t="e">
        <f>IF(U$4&lt;=$C$20,IF(AND($C$12="Worst Case",U4&gt;1),0,-#REF!*(1+$C$27)^U$4),0)</f>
        <v>#REF!</v>
      </c>
      <c r="V9" s="225" t="e">
        <f>IF(V$4&lt;=$C$20,IF(AND($C$12="Worst Case",V4&gt;1),0,-#REF!*(1+$C$27)^V$4),0)</f>
        <v>#REF!</v>
      </c>
      <c r="W9" s="225" t="e">
        <f>IF(W$4&lt;=$C$20,IF(AND($C$12="Worst Case",W4&gt;1),0,-#REF!*(1+$C$27)^W$4),0)</f>
        <v>#REF!</v>
      </c>
      <c r="X9" s="225" t="e">
        <f>IF(X$4&lt;=$C$20,IF(AND($C$12="Worst Case",X4&gt;1),0,-#REF!*(1+$C$27)^X$4),0)</f>
        <v>#REF!</v>
      </c>
      <c r="Y9" s="225" t="e">
        <f>IF(Y$4&lt;=$C$20,IF(AND($C$12="Worst Case",Y4&gt;1),0,-#REF!*(1+$C$27)^Y$4),0)</f>
        <v>#REF!</v>
      </c>
      <c r="Z9" s="225" t="e">
        <f>IF(Z$4&lt;=$C$20,IF(AND($C$12="Worst Case",Z4&gt;1),0,-#REF!*(1+$C$27)^Z$4),0)</f>
        <v>#REF!</v>
      </c>
      <c r="AA9" s="225" t="e">
        <f>IF(AA$4&lt;=$C$20,IF(AND($C$12="Worst Case",AA4&gt;1),0,-#REF!*(1+$C$27)^AA$4),0)</f>
        <v>#REF!</v>
      </c>
    </row>
    <row r="10" spans="1:27">
      <c r="A10"/>
      <c r="B10"/>
      <c r="C10" s="26"/>
      <c r="E10" s="113" t="s">
        <v>1</v>
      </c>
      <c r="F10" s="226"/>
      <c r="G10" s="225" t="e">
        <f>IF(G$4&lt;=$C$20,(-#REF!-IF(MOD(G4,#REF!)=0,#REF!,0))*(1+$C$26)^G$4,0)</f>
        <v>#REF!</v>
      </c>
      <c r="H10" s="225" t="e">
        <f>IF(H$4&lt;=$C$20,(-#REF!-IF(MOD(H4,#REF!)=0,#REF!,0))*(1+$C$26)^H$4,0)</f>
        <v>#REF!</v>
      </c>
      <c r="I10" s="225" t="e">
        <f>IF(I$4&lt;=$C$20,(-#REF!-IF(MOD(I4,#REF!)=0,#REF!,0))*(1+$C$26)^I$4,0)</f>
        <v>#REF!</v>
      </c>
      <c r="J10" s="225" t="e">
        <f>IF(J$4&lt;=$C$20,(-#REF!-IF(MOD(J4,#REF!)=0,#REF!,0))*(1+$C$26)^J$4,0)</f>
        <v>#REF!</v>
      </c>
      <c r="K10" s="225" t="e">
        <f>IF(K$4&lt;=$C$20,(-#REF!-IF(MOD(K4,#REF!)=0,#REF!,0))*(1+$C$26)^K$4,0)</f>
        <v>#REF!</v>
      </c>
      <c r="L10" s="225" t="e">
        <f>IF(L$4&lt;=$C$20,(-#REF!-IF(MOD(L4,#REF!)=0,#REF!,0))*(1+$C$26)^L$4,0)</f>
        <v>#REF!</v>
      </c>
      <c r="M10" s="225" t="e">
        <f>IF(M$4&lt;=$C$20,(-#REF!-IF(MOD(M4,#REF!)=0,#REF!,0))*(1+$C$26)^M$4,0)</f>
        <v>#REF!</v>
      </c>
      <c r="N10" s="225" t="e">
        <f>IF(N$4&lt;=$C$20,(-#REF!-IF(MOD(N4,#REF!)=0,#REF!,0))*(1+$C$26)^N$4,0)</f>
        <v>#REF!</v>
      </c>
      <c r="O10" s="225" t="e">
        <f>IF(O$4&lt;=$C$20,(-#REF!-IF(MOD(O4,#REF!)=0,#REF!,0))*(1+$C$26)^O$4,0)</f>
        <v>#REF!</v>
      </c>
      <c r="P10" s="225" t="e">
        <f>IF(P$4&lt;=$C$20,(-#REF!-IF(MOD(P4,#REF!)=0,#REF!,0))*(1+$C$26)^P$4,0)</f>
        <v>#REF!</v>
      </c>
      <c r="Q10" s="225" t="e">
        <f>IF(Q$4&lt;=$C$20,(-#REF!-IF(MOD(Q4,#REF!)=0,#REF!,0))*(1+$C$26)^Q$4,0)</f>
        <v>#REF!</v>
      </c>
      <c r="R10" s="225" t="e">
        <f>IF(R$4&lt;=$C$20,(-#REF!-IF(MOD(R4,#REF!)=0,#REF!,0))*(1+$C$26)^R$4,0)</f>
        <v>#REF!</v>
      </c>
      <c r="S10" s="225" t="e">
        <f>IF(S$4&lt;=$C$20,(-#REF!-IF(MOD(S4,#REF!)=0,#REF!,0))*(1+$C$26)^S$4,0)</f>
        <v>#REF!</v>
      </c>
      <c r="T10" s="225" t="e">
        <f>IF(T$4&lt;=$C$20,(-#REF!-IF(MOD(T4,#REF!)=0,#REF!,0))*(1+$C$26)^T$4,0)</f>
        <v>#REF!</v>
      </c>
      <c r="U10" s="225" t="e">
        <f>IF(U$4&lt;=$C$20,(-#REF!-IF(MOD(U4,#REF!)=0,#REF!,0))*(1+$C$26)^U$4,0)</f>
        <v>#REF!</v>
      </c>
      <c r="V10" s="225" t="e">
        <f>IF(V$4&lt;=$C$20,(-#REF!-IF(MOD(V4,#REF!)=0,#REF!,0))*(1+$C$26)^V$4,0)</f>
        <v>#REF!</v>
      </c>
      <c r="W10" s="225" t="e">
        <f>IF(W$4&lt;=$C$20,(-#REF!-IF(MOD(W4,#REF!)=0,#REF!,0))*(1+$C$26)^W$4,0)</f>
        <v>#REF!</v>
      </c>
      <c r="X10" s="225" t="e">
        <f>IF(X$4&lt;=$C$20,(-#REF!-IF(MOD(X4,#REF!)=0,#REF!,0))*(1+$C$26)^X$4,0)</f>
        <v>#REF!</v>
      </c>
      <c r="Y10" s="225" t="e">
        <f>IF(Y$4&lt;=$C$20,(-#REF!-IF(MOD(Y4,#REF!)=0,#REF!,0))*(1+$C$26)^Y$4,0)</f>
        <v>#REF!</v>
      </c>
      <c r="Z10" s="225" t="e">
        <f>IF(Z$4&lt;=$C$20,(-#REF!-IF(MOD(Z4,#REF!)=0,#REF!,0))*(1+$C$26)^Z$4,0)</f>
        <v>#REF!</v>
      </c>
      <c r="AA10" s="225" t="e">
        <f>IF(AA$4&lt;=$C$20,(-#REF!-IF(MOD(AA4,#REF!)=0,#REF!,0))*(1+$C$26)^AA$4,0)</f>
        <v>#REF!</v>
      </c>
    </row>
    <row r="11" spans="1:27" ht="15.75" thickBot="1">
      <c r="A11" s="25" t="s">
        <v>196</v>
      </c>
      <c r="B11" s="15"/>
      <c r="C11" s="15"/>
      <c r="E11" s="113" t="s">
        <v>2</v>
      </c>
      <c r="F11" s="226"/>
      <c r="G11" s="225" t="e">
        <f>IF(G$4&lt;=$C$20,-#REF!*(1+$C$25)^G$4,0)</f>
        <v>#REF!</v>
      </c>
      <c r="H11" s="225" t="e">
        <f>IF(H$4&lt;=$C$20,-#REF!*(1+$C$25)^H$4,0)</f>
        <v>#REF!</v>
      </c>
      <c r="I11" s="225" t="e">
        <f>IF(I$4&lt;=$C$20,-#REF!*(1+$C$25)^I$4,0)</f>
        <v>#REF!</v>
      </c>
      <c r="J11" s="225" t="e">
        <f>IF(J$4&lt;=$C$20,-#REF!*(1+$C$25)^J$4,0)</f>
        <v>#REF!</v>
      </c>
      <c r="K11" s="225" t="e">
        <f>IF(K$4&lt;=$C$20,-#REF!*(1+$C$25)^K$4,0)</f>
        <v>#REF!</v>
      </c>
      <c r="L11" s="225" t="e">
        <f>IF(L$4&lt;=$C$20,-#REF!*(1+$C$25)^L$4,0)</f>
        <v>#REF!</v>
      </c>
      <c r="M11" s="225" t="e">
        <f>IF(M$4&lt;=$C$20,-#REF!*(1+$C$25)^M$4,0)</f>
        <v>#REF!</v>
      </c>
      <c r="N11" s="225" t="e">
        <f>IF(N$4&lt;=$C$20,-#REF!*(1+$C$25)^N$4,0)</f>
        <v>#REF!</v>
      </c>
      <c r="O11" s="225" t="e">
        <f>IF(O$4&lt;=$C$20,-#REF!*(1+$C$25)^O$4,0)</f>
        <v>#REF!</v>
      </c>
      <c r="P11" s="225" t="e">
        <f>IF(P$4&lt;=$C$20,-#REF!*(1+$C$25)^P$4,0)</f>
        <v>#REF!</v>
      </c>
      <c r="Q11" s="225" t="e">
        <f>IF(Q$4&lt;=$C$20,-#REF!*(1+$C$25)^Q$4,0)</f>
        <v>#REF!</v>
      </c>
      <c r="R11" s="225" t="e">
        <f>IF(R$4&lt;=$C$20,-#REF!*(1+$C$25)^R$4,0)</f>
        <v>#REF!</v>
      </c>
      <c r="S11" s="225" t="e">
        <f>IF(S$4&lt;=$C$20,-#REF!*(1+$C$25)^S$4,0)</f>
        <v>#REF!</v>
      </c>
      <c r="T11" s="225" t="e">
        <f>IF(T$4&lt;=$C$20,-#REF!*(1+$C$25)^T$4,0)</f>
        <v>#REF!</v>
      </c>
      <c r="U11" s="225" t="e">
        <f>IF(U$4&lt;=$C$20,-#REF!*(1+$C$25)^U$4,0)</f>
        <v>#REF!</v>
      </c>
      <c r="V11" s="225" t="e">
        <f>IF(V$4&lt;=$C$20,-#REF!*(1+$C$25)^V$4,0)</f>
        <v>#REF!</v>
      </c>
      <c r="W11" s="225" t="e">
        <f>IF(W$4&lt;=$C$20,-#REF!*(1+$C$25)^W$4,0)</f>
        <v>#REF!</v>
      </c>
      <c r="X11" s="225" t="e">
        <f>IF(X$4&lt;=$C$20,-#REF!*(1+$C$25)^X$4,0)</f>
        <v>#REF!</v>
      </c>
      <c r="Y11" s="225" t="e">
        <f>IF(Y$4&lt;=$C$20,-#REF!*(1+$C$25)^Y$4,0)</f>
        <v>#REF!</v>
      </c>
      <c r="Z11" s="225" t="e">
        <f>IF(Z$4&lt;=$C$20,-#REF!*(1+$C$25)^Z$4,0)</f>
        <v>#REF!</v>
      </c>
      <c r="AA11" s="225" t="e">
        <f>IF(AA$4&lt;=$C$20,-#REF!*(1+$C$25)^AA$4,0)</f>
        <v>#REF!</v>
      </c>
    </row>
    <row r="12" spans="1:27">
      <c r="A12" s="105" t="s">
        <v>217</v>
      </c>
      <c r="B12"/>
      <c r="C12" s="203" t="s">
        <v>218</v>
      </c>
      <c r="E12" s="113" t="s">
        <v>3</v>
      </c>
      <c r="F12" s="226"/>
      <c r="G12" s="225" t="e">
        <f>IF(G$4&lt;=$C$20,-#REF!*(1+$C$24)^G$4,0)</f>
        <v>#REF!</v>
      </c>
      <c r="H12" s="225" t="e">
        <f>IF(H$4&lt;=$C$20,-#REF!*(1+$C$24)^H$4,0)</f>
        <v>#REF!</v>
      </c>
      <c r="I12" s="225" t="e">
        <f>IF(I$4&lt;=$C$20,-#REF!*(1+$C$24)^I$4,0)</f>
        <v>#REF!</v>
      </c>
      <c r="J12" s="225" t="e">
        <f>IF(J$4&lt;=$C$20,-#REF!*(1+$C$24)^J$4,0)</f>
        <v>#REF!</v>
      </c>
      <c r="K12" s="225" t="e">
        <f>IF(K$4&lt;=$C$20,-#REF!*(1+$C$24)^K$4,0)</f>
        <v>#REF!</v>
      </c>
      <c r="L12" s="225" t="e">
        <f>IF(L$4&lt;=$C$20,-#REF!*(1+$C$24)^L$4,0)</f>
        <v>#REF!</v>
      </c>
      <c r="M12" s="225" t="e">
        <f>IF(M$4&lt;=$C$20,-#REF!*(1+$C$24)^M$4,0)</f>
        <v>#REF!</v>
      </c>
      <c r="N12" s="225" t="e">
        <f>IF(N$4&lt;=$C$20,-#REF!*(1+$C$24)^N$4,0)</f>
        <v>#REF!</v>
      </c>
      <c r="O12" s="225" t="e">
        <f>IF(O$4&lt;=$C$20,-#REF!*(1+$C$24)^O$4,0)</f>
        <v>#REF!</v>
      </c>
      <c r="P12" s="225" t="e">
        <f>IF(P$4&lt;=$C$20,-#REF!*(1+$C$24)^P$4,0)</f>
        <v>#REF!</v>
      </c>
      <c r="Q12" s="225" t="e">
        <f>IF(Q$4&lt;=$C$20,-#REF!*(1+$C$24)^Q$4,0)</f>
        <v>#REF!</v>
      </c>
      <c r="R12" s="225" t="e">
        <f>IF(R$4&lt;=$C$20,-#REF!*(1+$C$24)^R$4,0)</f>
        <v>#REF!</v>
      </c>
      <c r="S12" s="225" t="e">
        <f>IF(S$4&lt;=$C$20,-#REF!*(1+$C$24)^S$4,0)</f>
        <v>#REF!</v>
      </c>
      <c r="T12" s="225" t="e">
        <f>IF(T$4&lt;=$C$20,-#REF!*(1+$C$24)^T$4,0)</f>
        <v>#REF!</v>
      </c>
      <c r="U12" s="225" t="e">
        <f>IF(U$4&lt;=$C$20,-#REF!*(1+$C$24)^U$4,0)</f>
        <v>#REF!</v>
      </c>
      <c r="V12" s="225" t="e">
        <f>IF(V$4&lt;=$C$20,-#REF!*(1+$C$24)^V$4,0)</f>
        <v>#REF!</v>
      </c>
      <c r="W12" s="225" t="e">
        <f>IF(W$4&lt;=$C$20,-#REF!*(1+$C$24)^W$4,0)</f>
        <v>#REF!</v>
      </c>
      <c r="X12" s="225" t="e">
        <f>IF(X$4&lt;=$C$20,-#REF!*(1+$C$24)^X$4,0)</f>
        <v>#REF!</v>
      </c>
      <c r="Y12" s="225" t="e">
        <f>IF(Y$4&lt;=$C$20,-#REF!*(1+$C$24)^Y$4,0)</f>
        <v>#REF!</v>
      </c>
      <c r="Z12" s="225" t="e">
        <f>IF(Z$4&lt;=$C$20,-#REF!*(1+$C$24)^Z$4,0)</f>
        <v>#REF!</v>
      </c>
      <c r="AA12" s="225" t="e">
        <f>IF(AA$4&lt;=$C$20,-#REF!*(1+$C$24)^AA$4,0)</f>
        <v>#REF!</v>
      </c>
    </row>
    <row r="13" spans="1:27">
      <c r="A13" s="239" t="s">
        <v>342</v>
      </c>
      <c r="B13" s="105"/>
      <c r="C13" s="112" t="e">
        <f>INDEX(#REF!,MATCH(A13,#REF!,0),MATCH($C$12,#REF!,0))</f>
        <v>#REF!</v>
      </c>
      <c r="E13" s="113" t="s">
        <v>228</v>
      </c>
      <c r="F13" s="226"/>
      <c r="G13" s="225" t="e">
        <f>#REF!*C33</f>
        <v>#REF!</v>
      </c>
      <c r="H13" s="225"/>
      <c r="I13" s="225"/>
      <c r="J13" s="225"/>
      <c r="K13" s="225"/>
      <c r="L13" s="225"/>
      <c r="M13" s="225"/>
      <c r="N13" s="225"/>
      <c r="O13" s="225"/>
      <c r="P13" s="225"/>
      <c r="Q13" s="225"/>
      <c r="R13" s="225"/>
      <c r="S13" s="225"/>
      <c r="T13" s="225"/>
      <c r="U13" s="225"/>
      <c r="V13" s="225"/>
      <c r="W13" s="225"/>
      <c r="X13" s="225"/>
      <c r="Y13" s="225"/>
      <c r="Z13" s="225"/>
      <c r="AA13" s="225"/>
    </row>
    <row r="14" spans="1:27">
      <c r="A14" s="105"/>
      <c r="B14" s="105"/>
      <c r="C14" s="112"/>
      <c r="E14" s="113" t="s">
        <v>109</v>
      </c>
      <c r="F14" s="227" t="e">
        <f t="shared" ref="F14:AA14" si="0">SUM(F6:F13)</f>
        <v>#REF!</v>
      </c>
      <c r="G14" s="227" t="e">
        <f t="shared" si="0"/>
        <v>#REF!</v>
      </c>
      <c r="H14" s="227" t="e">
        <f t="shared" si="0"/>
        <v>#REF!</v>
      </c>
      <c r="I14" s="227" t="e">
        <f t="shared" si="0"/>
        <v>#REF!</v>
      </c>
      <c r="J14" s="227" t="e">
        <f t="shared" si="0"/>
        <v>#REF!</v>
      </c>
      <c r="K14" s="227" t="e">
        <f t="shared" si="0"/>
        <v>#REF!</v>
      </c>
      <c r="L14" s="227" t="e">
        <f t="shared" si="0"/>
        <v>#REF!</v>
      </c>
      <c r="M14" s="227" t="e">
        <f t="shared" si="0"/>
        <v>#REF!</v>
      </c>
      <c r="N14" s="227" t="e">
        <f t="shared" si="0"/>
        <v>#REF!</v>
      </c>
      <c r="O14" s="227" t="e">
        <f t="shared" si="0"/>
        <v>#REF!</v>
      </c>
      <c r="P14" s="227" t="e">
        <f t="shared" si="0"/>
        <v>#REF!</v>
      </c>
      <c r="Q14" s="227" t="e">
        <f t="shared" si="0"/>
        <v>#REF!</v>
      </c>
      <c r="R14" s="227" t="e">
        <f t="shared" si="0"/>
        <v>#REF!</v>
      </c>
      <c r="S14" s="227" t="e">
        <f t="shared" si="0"/>
        <v>#REF!</v>
      </c>
      <c r="T14" s="227" t="e">
        <f t="shared" si="0"/>
        <v>#REF!</v>
      </c>
      <c r="U14" s="227" t="e">
        <f t="shared" si="0"/>
        <v>#REF!</v>
      </c>
      <c r="V14" s="227" t="e">
        <f t="shared" si="0"/>
        <v>#REF!</v>
      </c>
      <c r="W14" s="227" t="e">
        <f t="shared" si="0"/>
        <v>#REF!</v>
      </c>
      <c r="X14" s="227" t="e">
        <f t="shared" si="0"/>
        <v>#REF!</v>
      </c>
      <c r="Y14" s="227" t="e">
        <f t="shared" si="0"/>
        <v>#REF!</v>
      </c>
      <c r="Z14" s="227" t="e">
        <f t="shared" si="0"/>
        <v>#REF!</v>
      </c>
      <c r="AA14" s="227" t="e">
        <f t="shared" si="0"/>
        <v>#REF!</v>
      </c>
    </row>
    <row r="15" spans="1:27">
      <c r="A15" s="140" t="s">
        <v>336</v>
      </c>
      <c r="B15" s="105"/>
      <c r="C15" s="112"/>
      <c r="E15" s="113" t="s">
        <v>108</v>
      </c>
      <c r="F15" s="228" t="e">
        <f t="shared" ref="F15:AA15" si="1">F14/(1+$C$29)^F4</f>
        <v>#REF!</v>
      </c>
      <c r="G15" s="228" t="e">
        <f t="shared" si="1"/>
        <v>#REF!</v>
      </c>
      <c r="H15" s="228" t="e">
        <f t="shared" si="1"/>
        <v>#REF!</v>
      </c>
      <c r="I15" s="228" t="e">
        <f t="shared" si="1"/>
        <v>#REF!</v>
      </c>
      <c r="J15" s="228" t="e">
        <f t="shared" si="1"/>
        <v>#REF!</v>
      </c>
      <c r="K15" s="228" t="e">
        <f t="shared" si="1"/>
        <v>#REF!</v>
      </c>
      <c r="L15" s="228" t="e">
        <f t="shared" si="1"/>
        <v>#REF!</v>
      </c>
      <c r="M15" s="228" t="e">
        <f t="shared" si="1"/>
        <v>#REF!</v>
      </c>
      <c r="N15" s="228" t="e">
        <f t="shared" si="1"/>
        <v>#REF!</v>
      </c>
      <c r="O15" s="228" t="e">
        <f t="shared" si="1"/>
        <v>#REF!</v>
      </c>
      <c r="P15" s="228" t="e">
        <f t="shared" si="1"/>
        <v>#REF!</v>
      </c>
      <c r="Q15" s="228" t="e">
        <f t="shared" si="1"/>
        <v>#REF!</v>
      </c>
      <c r="R15" s="228" t="e">
        <f t="shared" si="1"/>
        <v>#REF!</v>
      </c>
      <c r="S15" s="228" t="e">
        <f t="shared" si="1"/>
        <v>#REF!</v>
      </c>
      <c r="T15" s="228" t="e">
        <f t="shared" si="1"/>
        <v>#REF!</v>
      </c>
      <c r="U15" s="228" t="e">
        <f t="shared" si="1"/>
        <v>#REF!</v>
      </c>
      <c r="V15" s="228" t="e">
        <f t="shared" si="1"/>
        <v>#REF!</v>
      </c>
      <c r="W15" s="228" t="e">
        <f t="shared" si="1"/>
        <v>#REF!</v>
      </c>
      <c r="X15" s="228" t="e">
        <f t="shared" si="1"/>
        <v>#REF!</v>
      </c>
      <c r="Y15" s="228" t="e">
        <f t="shared" si="1"/>
        <v>#REF!</v>
      </c>
      <c r="Z15" s="228" t="e">
        <f t="shared" si="1"/>
        <v>#REF!</v>
      </c>
      <c r="AA15" s="228" t="e">
        <f t="shared" si="1"/>
        <v>#REF!</v>
      </c>
    </row>
    <row r="16" spans="1:27">
      <c r="A16" s="105" t="s">
        <v>89</v>
      </c>
      <c r="B16" s="105"/>
      <c r="C16" s="221" t="e">
        <f>#REF!*(1+C23)</f>
        <v>#REF!</v>
      </c>
      <c r="E16"/>
      <c r="F16" s="116"/>
      <c r="G16" s="116"/>
      <c r="H16" s="116"/>
      <c r="I16" s="116"/>
      <c r="J16" s="116"/>
      <c r="K16" s="116"/>
      <c r="L16" s="116"/>
      <c r="M16" s="116"/>
      <c r="N16" s="116"/>
      <c r="O16" s="116"/>
      <c r="P16" s="116"/>
      <c r="Q16" s="116"/>
      <c r="R16" s="116"/>
      <c r="S16" s="116"/>
      <c r="T16" s="116"/>
      <c r="U16" s="116"/>
      <c r="V16" s="116"/>
      <c r="W16" s="116"/>
      <c r="X16" s="116"/>
      <c r="Y16" s="116"/>
      <c r="Z16" s="116"/>
      <c r="AA16" s="116"/>
    </row>
    <row r="17" spans="1:27">
      <c r="A17" s="105" t="s">
        <v>337</v>
      </c>
      <c r="B17" s="105"/>
      <c r="C17" s="221" t="e">
        <f>#REF!*(1+C24)</f>
        <v>#REF!</v>
      </c>
      <c r="E17"/>
      <c r="F17" s="12" t="s">
        <v>25</v>
      </c>
      <c r="G17" s="222" t="e">
        <f>SUM(F15:AA15)</f>
        <v>#REF!</v>
      </c>
      <c r="H17" s="12"/>
      <c r="I17" s="12"/>
      <c r="J17" s="12"/>
      <c r="K17" s="12"/>
      <c r="L17" s="12"/>
      <c r="M17" s="12"/>
      <c r="N17" s="12"/>
      <c r="O17" s="12"/>
      <c r="P17" s="12"/>
      <c r="Q17" s="12"/>
      <c r="R17" s="12"/>
      <c r="S17" s="12"/>
      <c r="T17" s="12"/>
      <c r="U17" s="12"/>
      <c r="V17" s="12"/>
      <c r="W17" s="12"/>
      <c r="X17" s="12"/>
      <c r="Y17" s="12"/>
      <c r="Z17" s="12"/>
      <c r="AA17" s="12"/>
    </row>
    <row r="18" spans="1:27">
      <c r="A18" s="105" t="s">
        <v>338</v>
      </c>
      <c r="B18" s="105"/>
      <c r="C18" s="221" t="e">
        <f>C16-C17</f>
        <v>#REF!</v>
      </c>
      <c r="E18"/>
      <c r="F18" s="12" t="s">
        <v>26</v>
      </c>
      <c r="G18" s="77" t="e">
        <f>IRR(F14:AA14)</f>
        <v>#VALUE!</v>
      </c>
      <c r="H18" s="115"/>
      <c r="I18" s="21"/>
      <c r="J18" s="34"/>
      <c r="K18" s="34"/>
      <c r="L18" s="34"/>
      <c r="M18"/>
      <c r="N18"/>
      <c r="O18"/>
      <c r="P18"/>
      <c r="Q18"/>
      <c r="R18"/>
      <c r="S18"/>
      <c r="T18"/>
      <c r="U18"/>
      <c r="V18"/>
      <c r="W18"/>
      <c r="X18"/>
      <c r="Y18"/>
      <c r="Z18"/>
      <c r="AA18"/>
    </row>
    <row r="19" spans="1:27">
      <c r="A19" s="105"/>
      <c r="B19" s="105"/>
      <c r="C19" s="221"/>
      <c r="E19"/>
      <c r="F19"/>
      <c r="G19"/>
      <c r="H19"/>
      <c r="I19"/>
      <c r="J19"/>
      <c r="K19"/>
      <c r="L19"/>
      <c r="M19"/>
      <c r="N19"/>
      <c r="O19"/>
      <c r="P19"/>
      <c r="Q19"/>
      <c r="R19"/>
      <c r="S19"/>
      <c r="T19"/>
      <c r="U19"/>
      <c r="V19"/>
      <c r="W19"/>
      <c r="X19"/>
      <c r="Y19"/>
      <c r="Z19"/>
      <c r="AA19"/>
    </row>
    <row r="20" spans="1:27">
      <c r="A20" s="105" t="s">
        <v>209</v>
      </c>
      <c r="B20" s="12"/>
      <c r="C20" s="62" t="e">
        <f>INDEX(#REF!,MATCH(A20,#REF!,0),MATCH($C$12,#REF!,0))</f>
        <v>#REF!</v>
      </c>
      <c r="E20" s="22"/>
      <c r="F20" s="22"/>
      <c r="G20" s="22"/>
      <c r="H20" s="22"/>
      <c r="I20" s="22"/>
      <c r="J20" s="22"/>
      <c r="K20" s="22"/>
      <c r="L20" s="22"/>
    </row>
    <row r="21" spans="1:27">
      <c r="A21"/>
      <c r="B21"/>
      <c r="C21" s="59"/>
      <c r="E21" s="155" t="s">
        <v>259</v>
      </c>
      <c r="F21" s="2"/>
      <c r="G21" s="22"/>
      <c r="H21" s="22"/>
    </row>
    <row r="22" spans="1:27">
      <c r="A22" s="140" t="s">
        <v>355</v>
      </c>
      <c r="B22"/>
      <c r="C22" s="59"/>
      <c r="E22" s="33" t="s">
        <v>314</v>
      </c>
      <c r="F22" s="33" t="e">
        <f>#REF!</f>
        <v>#REF!</v>
      </c>
      <c r="G22" s="22"/>
      <c r="H22" s="22"/>
      <c r="I22" s="22"/>
      <c r="J22" s="22"/>
      <c r="K22" s="22"/>
      <c r="L22" s="22"/>
      <c r="M22" s="22"/>
      <c r="N22" s="22"/>
      <c r="O22" s="22"/>
      <c r="P22" s="22"/>
      <c r="Q22" s="22"/>
      <c r="R22" s="22"/>
      <c r="S22" s="22"/>
      <c r="T22" s="22"/>
      <c r="U22" s="22"/>
      <c r="V22" s="22"/>
    </row>
    <row r="23" spans="1:27">
      <c r="A23" s="12" t="s">
        <v>333</v>
      </c>
      <c r="B23"/>
      <c r="C23" s="201" t="e">
        <f>INDEX(#REF!,MATCH(A23,#REF!,0),MATCH($C$12,#REF!,0))</f>
        <v>#REF!</v>
      </c>
      <c r="E23" s="33" t="s">
        <v>315</v>
      </c>
      <c r="F23" s="33" t="e">
        <f>#REF!</f>
        <v>#REF!</v>
      </c>
      <c r="G23" s="22"/>
      <c r="H23" s="22"/>
    </row>
    <row r="24" spans="1:27">
      <c r="A24" s="12" t="s">
        <v>3</v>
      </c>
      <c r="B24"/>
      <c r="C24" s="201" t="e">
        <f>INDEX(#REF!,MATCH(A24,#REF!,0),MATCH($C$12,#REF!,0))</f>
        <v>#REF!</v>
      </c>
      <c r="E24" s="33" t="s">
        <v>316</v>
      </c>
      <c r="F24" s="33" t="e">
        <f>#REF!</f>
        <v>#REF!</v>
      </c>
      <c r="G24" s="22"/>
      <c r="H24" s="235"/>
    </row>
    <row r="25" spans="1:27">
      <c r="A25" s="12" t="s">
        <v>2</v>
      </c>
      <c r="B25"/>
      <c r="C25" s="201" t="e">
        <f>INDEX(#REF!,MATCH(A25,#REF!,0),MATCH($C$12,#REF!,0))</f>
        <v>#REF!</v>
      </c>
      <c r="E25" s="12"/>
      <c r="F25" s="33"/>
      <c r="G25" s="22"/>
      <c r="H25" s="235"/>
    </row>
    <row r="26" spans="1:27">
      <c r="A26" s="12" t="s">
        <v>335</v>
      </c>
      <c r="B26"/>
      <c r="C26" s="201" t="e">
        <f>INDEX(#REF!,MATCH(A26,#REF!,0),MATCH($C$12,#REF!,0))</f>
        <v>#REF!</v>
      </c>
      <c r="E26" s="22"/>
      <c r="F26" s="22"/>
      <c r="G26" s="22"/>
      <c r="H26" s="235"/>
      <c r="I26" s="22"/>
    </row>
    <row r="27" spans="1:27">
      <c r="A27" s="12" t="s">
        <v>69</v>
      </c>
      <c r="B27"/>
      <c r="C27" s="201" t="e">
        <f>INDEX(#REF!,MATCH(A27,#REF!,0),MATCH($C$12,#REF!,0))</f>
        <v>#REF!</v>
      </c>
      <c r="E27" s="22"/>
      <c r="F27" s="22"/>
      <c r="G27" s="22"/>
      <c r="H27" s="22"/>
      <c r="I27" s="22"/>
      <c r="K27" s="146"/>
    </row>
    <row r="28" spans="1:27" ht="15.75" thickBot="1">
      <c r="A28" s="25"/>
      <c r="B28" s="15"/>
      <c r="C28" s="15"/>
      <c r="E28" s="22"/>
      <c r="F28" s="22"/>
    </row>
    <row r="29" spans="1:27">
      <c r="A29" s="105" t="s">
        <v>334</v>
      </c>
      <c r="B29"/>
      <c r="C29" s="152" t="e">
        <f>INDEX(#REF!,MATCH(A29,#REF!,0),MATCH($C$12,#REF!,0))</f>
        <v>#REF!</v>
      </c>
      <c r="E29" s="22"/>
      <c r="F29" s="22"/>
    </row>
    <row r="30" spans="1:27">
      <c r="A30" s="105"/>
      <c r="B30" s="105"/>
      <c r="C30" s="112"/>
      <c r="E30" s="22"/>
      <c r="F30" s="22"/>
      <c r="G30" s="147"/>
      <c r="H30" s="148"/>
      <c r="I30" s="146"/>
    </row>
    <row r="31" spans="1:27">
      <c r="A31" s="140" t="s">
        <v>220</v>
      </c>
      <c r="B31"/>
      <c r="C31" s="59"/>
      <c r="E31" s="22"/>
      <c r="F31" s="22"/>
      <c r="G31" s="147"/>
      <c r="H31" s="148"/>
      <c r="I31" s="146"/>
    </row>
    <row r="32" spans="1:27">
      <c r="A32" s="12" t="s">
        <v>221</v>
      </c>
      <c r="B32"/>
      <c r="C32" s="63" t="s">
        <v>320</v>
      </c>
      <c r="E32" s="22"/>
      <c r="F32" s="22"/>
      <c r="G32" s="149"/>
      <c r="H32" s="149"/>
    </row>
    <row r="33" spans="1:8">
      <c r="A33" s="12" t="s">
        <v>229</v>
      </c>
      <c r="B33"/>
      <c r="C33" s="112">
        <v>0.25</v>
      </c>
      <c r="E33" s="22"/>
      <c r="F33" s="22"/>
      <c r="G33" s="149"/>
      <c r="H33" s="149"/>
    </row>
    <row r="34" spans="1:8">
      <c r="A34" s="12" t="s">
        <v>238</v>
      </c>
      <c r="B34"/>
      <c r="C34" s="221" t="e">
        <f>NPV(C29,G13:L13)</f>
        <v>#REF!</v>
      </c>
    </row>
    <row r="35" spans="1:8">
      <c r="A35"/>
      <c r="B35"/>
      <c r="C35"/>
    </row>
  </sheetData>
  <conditionalFormatting sqref="F22:F24">
    <cfRule type="cellIs" dxfId="81" priority="5" operator="equal">
      <formula>FALSE</formula>
    </cfRule>
    <cfRule type="cellIs" dxfId="80" priority="6" operator="equal">
      <formula>TRUE</formula>
    </cfRule>
  </conditionalFormatting>
  <conditionalFormatting sqref="A13">
    <cfRule type="expression" dxfId="79" priority="3">
      <formula>MOD(ROW(),2)=0</formula>
    </cfRule>
  </conditionalFormatting>
  <dataValidations count="2">
    <dataValidation type="list" allowBlank="1" showInputMessage="1" showErrorMessage="1" sqref="C22 C31" xr:uid="{EDA19213-46EA-4842-8588-3093190CE8F6}">
      <formula1>"SAT 46, CYS08, Average"</formula1>
    </dataValidation>
    <dataValidation type="list" allowBlank="1" showInputMessage="1" showErrorMessage="1" sqref="C12" xr:uid="{6DA10B65-B63F-47A1-97C9-1FBDCEF24463}">
      <formula1>"Best Case,Most Likely Case, Worst Case"</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41145-8856-4F74-8D2B-E4CB2A6756B0}">
  <sheetPr codeName="Sheet16">
    <tabColor rgb="FFFFFF00"/>
  </sheetPr>
  <dimension ref="A2:D12"/>
  <sheetViews>
    <sheetView workbookViewId="0">
      <selection activeCell="E40" sqref="E40"/>
    </sheetView>
  </sheetViews>
  <sheetFormatPr defaultRowHeight="15"/>
  <cols>
    <col min="2" max="3" width="8.7109375" bestFit="1" customWidth="1"/>
  </cols>
  <sheetData>
    <row r="2" spans="1:4">
      <c r="A2" t="s">
        <v>222</v>
      </c>
    </row>
    <row r="3" spans="1:4">
      <c r="A3" t="s">
        <v>223</v>
      </c>
    </row>
    <row r="4" spans="1:4">
      <c r="A4" t="s">
        <v>224</v>
      </c>
      <c r="B4" t="s">
        <v>225</v>
      </c>
      <c r="C4" t="s">
        <v>226</v>
      </c>
      <c r="D4" t="s">
        <v>227</v>
      </c>
    </row>
    <row r="5" spans="1:4">
      <c r="A5">
        <v>1</v>
      </c>
      <c r="B5" s="145">
        <v>0.33329999999999999</v>
      </c>
      <c r="C5" s="145">
        <v>0.2</v>
      </c>
      <c r="D5">
        <v>0.1429</v>
      </c>
    </row>
    <row r="6" spans="1:4">
      <c r="A6">
        <v>2</v>
      </c>
      <c r="B6" s="145">
        <v>0.44450000000000001</v>
      </c>
      <c r="C6" s="145">
        <v>0.32</v>
      </c>
      <c r="D6">
        <v>0.24490000000000001</v>
      </c>
    </row>
    <row r="7" spans="1:4">
      <c r="A7">
        <v>3</v>
      </c>
      <c r="B7" s="145">
        <v>0.14810000000000001</v>
      </c>
      <c r="C7" s="145">
        <v>0.192</v>
      </c>
      <c r="D7">
        <v>0.1749</v>
      </c>
    </row>
    <row r="8" spans="1:4">
      <c r="A8">
        <v>4</v>
      </c>
      <c r="B8" s="145">
        <v>7.4099999999999999E-2</v>
      </c>
      <c r="C8" s="145">
        <v>0.1152</v>
      </c>
      <c r="D8">
        <v>0.1249</v>
      </c>
    </row>
    <row r="9" spans="1:4">
      <c r="A9">
        <v>5</v>
      </c>
      <c r="B9" s="145">
        <v>0</v>
      </c>
      <c r="C9" s="145">
        <v>0.1152</v>
      </c>
      <c r="D9">
        <v>8.9300000000000004E-2</v>
      </c>
    </row>
    <row r="10" spans="1:4">
      <c r="A10">
        <v>6</v>
      </c>
      <c r="B10" s="145">
        <v>0</v>
      </c>
      <c r="C10" s="145">
        <v>5.7599999999999998E-2</v>
      </c>
      <c r="D10">
        <v>8.9300000000000004E-2</v>
      </c>
    </row>
    <row r="11" spans="1:4">
      <c r="A11">
        <v>7</v>
      </c>
      <c r="B11" s="145">
        <v>0</v>
      </c>
      <c r="C11" s="145">
        <v>0</v>
      </c>
      <c r="D11">
        <v>8.9300000000000004E-2</v>
      </c>
    </row>
    <row r="12" spans="1:4">
      <c r="A12">
        <v>8</v>
      </c>
      <c r="D12">
        <v>4.4600000000000001E-2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DD90B-DA30-44BF-9456-0BAAE420F74A}">
  <sheetPr codeName="Sheet33">
    <tabColor rgb="FFFFFF00"/>
  </sheetPr>
  <dimension ref="B1:T37"/>
  <sheetViews>
    <sheetView topLeftCell="D1" workbookViewId="0">
      <selection activeCell="M15" sqref="M15"/>
    </sheetView>
  </sheetViews>
  <sheetFormatPr defaultRowHeight="15"/>
  <cols>
    <col min="1" max="1" width="9.140625" style="3"/>
    <col min="2" max="2" width="7.5703125" style="3" customWidth="1"/>
    <col min="3" max="3" width="43.28515625" style="3" customWidth="1"/>
    <col min="4" max="4" width="16.5703125" style="3" bestFit="1" customWidth="1"/>
    <col min="5" max="5" width="16.140625" style="3" bestFit="1" customWidth="1"/>
    <col min="6" max="6" width="8.28515625" style="3" customWidth="1"/>
    <col min="7" max="7" width="22.5703125" style="3" bestFit="1" customWidth="1"/>
    <col min="8" max="8" width="11" style="3" customWidth="1"/>
    <col min="9" max="9" width="13" style="3" customWidth="1"/>
    <col min="10" max="10" width="14.28515625" style="3" customWidth="1"/>
    <col min="11" max="11" width="18.7109375" style="3" customWidth="1"/>
    <col min="12" max="12" width="7.5703125" style="3" customWidth="1"/>
    <col min="13" max="13" width="38.140625" style="3" bestFit="1" customWidth="1"/>
    <col min="14" max="14" width="14.7109375" style="3" customWidth="1"/>
    <col min="15" max="15" width="14" style="3" bestFit="1" customWidth="1"/>
    <col min="16" max="16" width="14.28515625" style="3" bestFit="1" customWidth="1"/>
    <col min="17" max="17" width="11.28515625" style="3" bestFit="1" customWidth="1"/>
    <col min="18" max="18" width="11.5703125" style="3" bestFit="1" customWidth="1"/>
    <col min="19" max="258" width="9.140625" style="3"/>
    <col min="259" max="259" width="37.5703125" style="3" customWidth="1"/>
    <col min="260" max="260" width="12.5703125" style="3" customWidth="1"/>
    <col min="261" max="269" width="13.42578125" style="3" customWidth="1"/>
    <col min="270" max="514" width="9.140625" style="3"/>
    <col min="515" max="515" width="37.5703125" style="3" customWidth="1"/>
    <col min="516" max="516" width="12.5703125" style="3" customWidth="1"/>
    <col min="517" max="525" width="13.42578125" style="3" customWidth="1"/>
    <col min="526" max="770" width="9.140625" style="3"/>
    <col min="771" max="771" width="37.5703125" style="3" customWidth="1"/>
    <col min="772" max="772" width="12.5703125" style="3" customWidth="1"/>
    <col min="773" max="781" width="13.42578125" style="3" customWidth="1"/>
    <col min="782" max="1026" width="9.140625" style="3"/>
    <col min="1027" max="1027" width="37.5703125" style="3" customWidth="1"/>
    <col min="1028" max="1028" width="12.5703125" style="3" customWidth="1"/>
    <col min="1029" max="1037" width="13.42578125" style="3" customWidth="1"/>
    <col min="1038" max="1282" width="9.140625" style="3"/>
    <col min="1283" max="1283" width="37.5703125" style="3" customWidth="1"/>
    <col min="1284" max="1284" width="12.5703125" style="3" customWidth="1"/>
    <col min="1285" max="1293" width="13.42578125" style="3" customWidth="1"/>
    <col min="1294" max="1538" width="9.140625" style="3"/>
    <col min="1539" max="1539" width="37.5703125" style="3" customWidth="1"/>
    <col min="1540" max="1540" width="12.5703125" style="3" customWidth="1"/>
    <col min="1541" max="1549" width="13.42578125" style="3" customWidth="1"/>
    <col min="1550" max="1794" width="9.140625" style="3"/>
    <col min="1795" max="1795" width="37.5703125" style="3" customWidth="1"/>
    <col min="1796" max="1796" width="12.5703125" style="3" customWidth="1"/>
    <col min="1797" max="1805" width="13.42578125" style="3" customWidth="1"/>
    <col min="1806" max="2050" width="9.140625" style="3"/>
    <col min="2051" max="2051" width="37.5703125" style="3" customWidth="1"/>
    <col min="2052" max="2052" width="12.5703125" style="3" customWidth="1"/>
    <col min="2053" max="2061" width="13.42578125" style="3" customWidth="1"/>
    <col min="2062" max="2306" width="9.140625" style="3"/>
    <col min="2307" max="2307" width="37.5703125" style="3" customWidth="1"/>
    <col min="2308" max="2308" width="12.5703125" style="3" customWidth="1"/>
    <col min="2309" max="2317" width="13.42578125" style="3" customWidth="1"/>
    <col min="2318" max="2562" width="9.140625" style="3"/>
    <col min="2563" max="2563" width="37.5703125" style="3" customWidth="1"/>
    <col min="2564" max="2564" width="12.5703125" style="3" customWidth="1"/>
    <col min="2565" max="2573" width="13.42578125" style="3" customWidth="1"/>
    <col min="2574" max="2818" width="9.140625" style="3"/>
    <col min="2819" max="2819" width="37.5703125" style="3" customWidth="1"/>
    <col min="2820" max="2820" width="12.5703125" style="3" customWidth="1"/>
    <col min="2821" max="2829" width="13.42578125" style="3" customWidth="1"/>
    <col min="2830" max="3074" width="9.140625" style="3"/>
    <col min="3075" max="3075" width="37.5703125" style="3" customWidth="1"/>
    <col min="3076" max="3076" width="12.5703125" style="3" customWidth="1"/>
    <col min="3077" max="3085" width="13.42578125" style="3" customWidth="1"/>
    <col min="3086" max="3330" width="9.140625" style="3"/>
    <col min="3331" max="3331" width="37.5703125" style="3" customWidth="1"/>
    <col min="3332" max="3332" width="12.5703125" style="3" customWidth="1"/>
    <col min="3333" max="3341" width="13.42578125" style="3" customWidth="1"/>
    <col min="3342" max="3586" width="9.140625" style="3"/>
    <col min="3587" max="3587" width="37.5703125" style="3" customWidth="1"/>
    <col min="3588" max="3588" width="12.5703125" style="3" customWidth="1"/>
    <col min="3589" max="3597" width="13.42578125" style="3" customWidth="1"/>
    <col min="3598" max="3842" width="9.140625" style="3"/>
    <col min="3843" max="3843" width="37.5703125" style="3" customWidth="1"/>
    <col min="3844" max="3844" width="12.5703125" style="3" customWidth="1"/>
    <col min="3845" max="3853" width="13.42578125" style="3" customWidth="1"/>
    <col min="3854" max="4098" width="9.140625" style="3"/>
    <col min="4099" max="4099" width="37.5703125" style="3" customWidth="1"/>
    <col min="4100" max="4100" width="12.5703125" style="3" customWidth="1"/>
    <col min="4101" max="4109" width="13.42578125" style="3" customWidth="1"/>
    <col min="4110" max="4354" width="9.140625" style="3"/>
    <col min="4355" max="4355" width="37.5703125" style="3" customWidth="1"/>
    <col min="4356" max="4356" width="12.5703125" style="3" customWidth="1"/>
    <col min="4357" max="4365" width="13.42578125" style="3" customWidth="1"/>
    <col min="4366" max="4610" width="9.140625" style="3"/>
    <col min="4611" max="4611" width="37.5703125" style="3" customWidth="1"/>
    <col min="4612" max="4612" width="12.5703125" style="3" customWidth="1"/>
    <col min="4613" max="4621" width="13.42578125" style="3" customWidth="1"/>
    <col min="4622" max="4866" width="9.140625" style="3"/>
    <col min="4867" max="4867" width="37.5703125" style="3" customWidth="1"/>
    <col min="4868" max="4868" width="12.5703125" style="3" customWidth="1"/>
    <col min="4869" max="4877" width="13.42578125" style="3" customWidth="1"/>
    <col min="4878" max="5122" width="9.140625" style="3"/>
    <col min="5123" max="5123" width="37.5703125" style="3" customWidth="1"/>
    <col min="5124" max="5124" width="12.5703125" style="3" customWidth="1"/>
    <col min="5125" max="5133" width="13.42578125" style="3" customWidth="1"/>
    <col min="5134" max="5378" width="9.140625" style="3"/>
    <col min="5379" max="5379" width="37.5703125" style="3" customWidth="1"/>
    <col min="5380" max="5380" width="12.5703125" style="3" customWidth="1"/>
    <col min="5381" max="5389" width="13.42578125" style="3" customWidth="1"/>
    <col min="5390" max="5634" width="9.140625" style="3"/>
    <col min="5635" max="5635" width="37.5703125" style="3" customWidth="1"/>
    <col min="5636" max="5636" width="12.5703125" style="3" customWidth="1"/>
    <col min="5637" max="5645" width="13.42578125" style="3" customWidth="1"/>
    <col min="5646" max="5890" width="9.140625" style="3"/>
    <col min="5891" max="5891" width="37.5703125" style="3" customWidth="1"/>
    <col min="5892" max="5892" width="12.5703125" style="3" customWidth="1"/>
    <col min="5893" max="5901" width="13.42578125" style="3" customWidth="1"/>
    <col min="5902" max="6146" width="9.140625" style="3"/>
    <col min="6147" max="6147" width="37.5703125" style="3" customWidth="1"/>
    <col min="6148" max="6148" width="12.5703125" style="3" customWidth="1"/>
    <col min="6149" max="6157" width="13.42578125" style="3" customWidth="1"/>
    <col min="6158" max="6402" width="9.140625" style="3"/>
    <col min="6403" max="6403" width="37.5703125" style="3" customWidth="1"/>
    <col min="6404" max="6404" width="12.5703125" style="3" customWidth="1"/>
    <col min="6405" max="6413" width="13.42578125" style="3" customWidth="1"/>
    <col min="6414" max="6658" width="9.140625" style="3"/>
    <col min="6659" max="6659" width="37.5703125" style="3" customWidth="1"/>
    <col min="6660" max="6660" width="12.5703125" style="3" customWidth="1"/>
    <col min="6661" max="6669" width="13.42578125" style="3" customWidth="1"/>
    <col min="6670" max="6914" width="9.140625" style="3"/>
    <col min="6915" max="6915" width="37.5703125" style="3" customWidth="1"/>
    <col min="6916" max="6916" width="12.5703125" style="3" customWidth="1"/>
    <col min="6917" max="6925" width="13.42578125" style="3" customWidth="1"/>
    <col min="6926" max="7170" width="9.140625" style="3"/>
    <col min="7171" max="7171" width="37.5703125" style="3" customWidth="1"/>
    <col min="7172" max="7172" width="12.5703125" style="3" customWidth="1"/>
    <col min="7173" max="7181" width="13.42578125" style="3" customWidth="1"/>
    <col min="7182" max="7426" width="9.140625" style="3"/>
    <col min="7427" max="7427" width="37.5703125" style="3" customWidth="1"/>
    <col min="7428" max="7428" width="12.5703125" style="3" customWidth="1"/>
    <col min="7429" max="7437" width="13.42578125" style="3" customWidth="1"/>
    <col min="7438" max="7682" width="9.140625" style="3"/>
    <col min="7683" max="7683" width="37.5703125" style="3" customWidth="1"/>
    <col min="7684" max="7684" width="12.5703125" style="3" customWidth="1"/>
    <col min="7685" max="7693" width="13.42578125" style="3" customWidth="1"/>
    <col min="7694" max="7938" width="9.140625" style="3"/>
    <col min="7939" max="7939" width="37.5703125" style="3" customWidth="1"/>
    <col min="7940" max="7940" width="12.5703125" style="3" customWidth="1"/>
    <col min="7941" max="7949" width="13.42578125" style="3" customWidth="1"/>
    <col min="7950" max="8194" width="9.140625" style="3"/>
    <col min="8195" max="8195" width="37.5703125" style="3" customWidth="1"/>
    <col min="8196" max="8196" width="12.5703125" style="3" customWidth="1"/>
    <col min="8197" max="8205" width="13.42578125" style="3" customWidth="1"/>
    <col min="8206" max="8450" width="9.140625" style="3"/>
    <col min="8451" max="8451" width="37.5703125" style="3" customWidth="1"/>
    <col min="8452" max="8452" width="12.5703125" style="3" customWidth="1"/>
    <col min="8453" max="8461" width="13.42578125" style="3" customWidth="1"/>
    <col min="8462" max="8706" width="9.140625" style="3"/>
    <col min="8707" max="8707" width="37.5703125" style="3" customWidth="1"/>
    <col min="8708" max="8708" width="12.5703125" style="3" customWidth="1"/>
    <col min="8709" max="8717" width="13.42578125" style="3" customWidth="1"/>
    <col min="8718" max="8962" width="9.140625" style="3"/>
    <col min="8963" max="8963" width="37.5703125" style="3" customWidth="1"/>
    <col min="8964" max="8964" width="12.5703125" style="3" customWidth="1"/>
    <col min="8965" max="8973" width="13.42578125" style="3" customWidth="1"/>
    <col min="8974" max="9218" width="9.140625" style="3"/>
    <col min="9219" max="9219" width="37.5703125" style="3" customWidth="1"/>
    <col min="9220" max="9220" width="12.5703125" style="3" customWidth="1"/>
    <col min="9221" max="9229" width="13.42578125" style="3" customWidth="1"/>
    <col min="9230" max="9474" width="9.140625" style="3"/>
    <col min="9475" max="9475" width="37.5703125" style="3" customWidth="1"/>
    <col min="9476" max="9476" width="12.5703125" style="3" customWidth="1"/>
    <col min="9477" max="9485" width="13.42578125" style="3" customWidth="1"/>
    <col min="9486" max="9730" width="9.140625" style="3"/>
    <col min="9731" max="9731" width="37.5703125" style="3" customWidth="1"/>
    <col min="9732" max="9732" width="12.5703125" style="3" customWidth="1"/>
    <col min="9733" max="9741" width="13.42578125" style="3" customWidth="1"/>
    <col min="9742" max="9986" width="9.140625" style="3"/>
    <col min="9987" max="9987" width="37.5703125" style="3" customWidth="1"/>
    <col min="9988" max="9988" width="12.5703125" style="3" customWidth="1"/>
    <col min="9989" max="9997" width="13.42578125" style="3" customWidth="1"/>
    <col min="9998" max="10242" width="9.140625" style="3"/>
    <col min="10243" max="10243" width="37.5703125" style="3" customWidth="1"/>
    <col min="10244" max="10244" width="12.5703125" style="3" customWidth="1"/>
    <col min="10245" max="10253" width="13.42578125" style="3" customWidth="1"/>
    <col min="10254" max="10498" width="9.140625" style="3"/>
    <col min="10499" max="10499" width="37.5703125" style="3" customWidth="1"/>
    <col min="10500" max="10500" width="12.5703125" style="3" customWidth="1"/>
    <col min="10501" max="10509" width="13.42578125" style="3" customWidth="1"/>
    <col min="10510" max="10754" width="9.140625" style="3"/>
    <col min="10755" max="10755" width="37.5703125" style="3" customWidth="1"/>
    <col min="10756" max="10756" width="12.5703125" style="3" customWidth="1"/>
    <col min="10757" max="10765" width="13.42578125" style="3" customWidth="1"/>
    <col min="10766" max="11010" width="9.140625" style="3"/>
    <col min="11011" max="11011" width="37.5703125" style="3" customWidth="1"/>
    <col min="11012" max="11012" width="12.5703125" style="3" customWidth="1"/>
    <col min="11013" max="11021" width="13.42578125" style="3" customWidth="1"/>
    <col min="11022" max="11266" width="9.140625" style="3"/>
    <col min="11267" max="11267" width="37.5703125" style="3" customWidth="1"/>
    <col min="11268" max="11268" width="12.5703125" style="3" customWidth="1"/>
    <col min="11269" max="11277" width="13.42578125" style="3" customWidth="1"/>
    <col min="11278" max="11522" width="9.140625" style="3"/>
    <col min="11523" max="11523" width="37.5703125" style="3" customWidth="1"/>
    <col min="11524" max="11524" width="12.5703125" style="3" customWidth="1"/>
    <col min="11525" max="11533" width="13.42578125" style="3" customWidth="1"/>
    <col min="11534" max="11778" width="9.140625" style="3"/>
    <col min="11779" max="11779" width="37.5703125" style="3" customWidth="1"/>
    <col min="11780" max="11780" width="12.5703125" style="3" customWidth="1"/>
    <col min="11781" max="11789" width="13.42578125" style="3" customWidth="1"/>
    <col min="11790" max="12034" width="9.140625" style="3"/>
    <col min="12035" max="12035" width="37.5703125" style="3" customWidth="1"/>
    <col min="12036" max="12036" width="12.5703125" style="3" customWidth="1"/>
    <col min="12037" max="12045" width="13.42578125" style="3" customWidth="1"/>
    <col min="12046" max="12290" width="9.140625" style="3"/>
    <col min="12291" max="12291" width="37.5703125" style="3" customWidth="1"/>
    <col min="12292" max="12292" width="12.5703125" style="3" customWidth="1"/>
    <col min="12293" max="12301" width="13.42578125" style="3" customWidth="1"/>
    <col min="12302" max="12546" width="9.140625" style="3"/>
    <col min="12547" max="12547" width="37.5703125" style="3" customWidth="1"/>
    <col min="12548" max="12548" width="12.5703125" style="3" customWidth="1"/>
    <col min="12549" max="12557" width="13.42578125" style="3" customWidth="1"/>
    <col min="12558" max="12802" width="9.140625" style="3"/>
    <col min="12803" max="12803" width="37.5703125" style="3" customWidth="1"/>
    <col min="12804" max="12804" width="12.5703125" style="3" customWidth="1"/>
    <col min="12805" max="12813" width="13.42578125" style="3" customWidth="1"/>
    <col min="12814" max="13058" width="9.140625" style="3"/>
    <col min="13059" max="13059" width="37.5703125" style="3" customWidth="1"/>
    <col min="13060" max="13060" width="12.5703125" style="3" customWidth="1"/>
    <col min="13061" max="13069" width="13.42578125" style="3" customWidth="1"/>
    <col min="13070" max="13314" width="9.140625" style="3"/>
    <col min="13315" max="13315" width="37.5703125" style="3" customWidth="1"/>
    <col min="13316" max="13316" width="12.5703125" style="3" customWidth="1"/>
    <col min="13317" max="13325" width="13.42578125" style="3" customWidth="1"/>
    <col min="13326" max="13570" width="9.140625" style="3"/>
    <col min="13571" max="13571" width="37.5703125" style="3" customWidth="1"/>
    <col min="13572" max="13572" width="12.5703125" style="3" customWidth="1"/>
    <col min="13573" max="13581" width="13.42578125" style="3" customWidth="1"/>
    <col min="13582" max="13826" width="9.140625" style="3"/>
    <col min="13827" max="13827" width="37.5703125" style="3" customWidth="1"/>
    <col min="13828" max="13828" width="12.5703125" style="3" customWidth="1"/>
    <col min="13829" max="13837" width="13.42578125" style="3" customWidth="1"/>
    <col min="13838" max="14082" width="9.140625" style="3"/>
    <col min="14083" max="14083" width="37.5703125" style="3" customWidth="1"/>
    <col min="14084" max="14084" width="12.5703125" style="3" customWidth="1"/>
    <col min="14085" max="14093" width="13.42578125" style="3" customWidth="1"/>
    <col min="14094" max="14338" width="9.140625" style="3"/>
    <col min="14339" max="14339" width="37.5703125" style="3" customWidth="1"/>
    <col min="14340" max="14340" width="12.5703125" style="3" customWidth="1"/>
    <col min="14341" max="14349" width="13.42578125" style="3" customWidth="1"/>
    <col min="14350" max="14594" width="9.140625" style="3"/>
    <col min="14595" max="14595" width="37.5703125" style="3" customWidth="1"/>
    <col min="14596" max="14596" width="12.5703125" style="3" customWidth="1"/>
    <col min="14597" max="14605" width="13.42578125" style="3" customWidth="1"/>
    <col min="14606" max="14850" width="9.140625" style="3"/>
    <col min="14851" max="14851" width="37.5703125" style="3" customWidth="1"/>
    <col min="14852" max="14852" width="12.5703125" style="3" customWidth="1"/>
    <col min="14853" max="14861" width="13.42578125" style="3" customWidth="1"/>
    <col min="14862" max="15106" width="9.140625" style="3"/>
    <col min="15107" max="15107" width="37.5703125" style="3" customWidth="1"/>
    <col min="15108" max="15108" width="12.5703125" style="3" customWidth="1"/>
    <col min="15109" max="15117" width="13.42578125" style="3" customWidth="1"/>
    <col min="15118" max="15362" width="9.140625" style="3"/>
    <col min="15363" max="15363" width="37.5703125" style="3" customWidth="1"/>
    <col min="15364" max="15364" width="12.5703125" style="3" customWidth="1"/>
    <col min="15365" max="15373" width="13.42578125" style="3" customWidth="1"/>
    <col min="15374" max="15618" width="9.140625" style="3"/>
    <col min="15619" max="15619" width="37.5703125" style="3" customWidth="1"/>
    <col min="15620" max="15620" width="12.5703125" style="3" customWidth="1"/>
    <col min="15621" max="15629" width="13.42578125" style="3" customWidth="1"/>
    <col min="15630" max="15874" width="9.140625" style="3"/>
    <col min="15875" max="15875" width="37.5703125" style="3" customWidth="1"/>
    <col min="15876" max="15876" width="12.5703125" style="3" customWidth="1"/>
    <col min="15877" max="15885" width="13.42578125" style="3" customWidth="1"/>
    <col min="15886" max="16130" width="9.140625" style="3"/>
    <col min="16131" max="16131" width="37.5703125" style="3" customWidth="1"/>
    <col min="16132" max="16132" width="12.5703125" style="3" customWidth="1"/>
    <col min="16133" max="16141" width="13.42578125" style="3" customWidth="1"/>
    <col min="16142" max="16384" width="9.140625" style="3"/>
  </cols>
  <sheetData>
    <row r="1" spans="2:20" ht="23.25">
      <c r="B1" s="10"/>
      <c r="C1" s="10" t="s">
        <v>4</v>
      </c>
      <c r="D1" s="2"/>
      <c r="F1" s="10"/>
      <c r="G1" s="10" t="s">
        <v>0</v>
      </c>
      <c r="H1" s="2"/>
      <c r="I1" s="2"/>
      <c r="J1" s="2"/>
      <c r="L1" s="10"/>
      <c r="M1" s="10" t="s">
        <v>6</v>
      </c>
      <c r="N1" s="2"/>
      <c r="O1" s="2"/>
      <c r="P1" s="2"/>
    </row>
    <row r="2" spans="2:20" s="13" customFormat="1" ht="20.25">
      <c r="B2" s="11"/>
      <c r="C2" s="12"/>
      <c r="D2" s="12"/>
      <c r="F2" s="11"/>
      <c r="G2" s="11"/>
      <c r="H2" s="12"/>
      <c r="I2" s="12"/>
      <c r="J2" s="12"/>
      <c r="K2" s="3"/>
      <c r="L2" s="281"/>
      <c r="M2" s="281"/>
      <c r="N2" s="282"/>
      <c r="O2" s="282"/>
      <c r="P2" s="282"/>
      <c r="Q2" s="3"/>
      <c r="R2" s="3"/>
      <c r="S2" s="3"/>
      <c r="T2" s="3"/>
    </row>
    <row r="3" spans="2:20" s="17" customFormat="1" ht="15.75" thickBot="1">
      <c r="B3" s="14"/>
      <c r="C3" s="15"/>
      <c r="D3" s="16"/>
      <c r="E3" s="13"/>
      <c r="F3" s="14"/>
      <c r="G3" s="15" t="s">
        <v>12</v>
      </c>
      <c r="H3" s="15" t="s">
        <v>9</v>
      </c>
      <c r="I3" s="15" t="s">
        <v>5</v>
      </c>
      <c r="J3" s="15" t="s">
        <v>7</v>
      </c>
      <c r="K3" s="3"/>
      <c r="L3" s="283"/>
      <c r="M3" s="284" t="s">
        <v>12</v>
      </c>
      <c r="N3" s="284" t="s">
        <v>9</v>
      </c>
      <c r="O3" s="284" t="s">
        <v>5</v>
      </c>
      <c r="P3" s="284" t="s">
        <v>7</v>
      </c>
      <c r="Q3" s="3"/>
      <c r="R3" s="3"/>
      <c r="S3" s="3"/>
      <c r="T3" s="3"/>
    </row>
    <row r="4" spans="2:20">
      <c r="B4"/>
      <c r="C4" s="272" t="s">
        <v>0</v>
      </c>
      <c r="D4" s="273">
        <f>J8</f>
        <v>2079290.0261538462</v>
      </c>
      <c r="E4" s="22"/>
      <c r="F4"/>
      <c r="G4" t="s">
        <v>11</v>
      </c>
      <c r="H4" s="280" t="e">
        <f>#REF!</f>
        <v>#REF!</v>
      </c>
      <c r="I4" s="273">
        <v>131441.5</v>
      </c>
      <c r="J4" s="277">
        <v>0</v>
      </c>
      <c r="L4" s="285"/>
      <c r="M4" s="285" t="s">
        <v>247</v>
      </c>
      <c r="N4" s="18" t="e">
        <f>#REF!*$H$5</f>
        <v>#REF!</v>
      </c>
      <c r="O4" s="273" t="e">
        <f>#REF!</f>
        <v>#REF!</v>
      </c>
      <c r="P4" s="277" t="e">
        <f>O4*N4</f>
        <v>#REF!</v>
      </c>
    </row>
    <row r="5" spans="2:20">
      <c r="B5"/>
      <c r="C5" s="272" t="s">
        <v>14</v>
      </c>
      <c r="D5" s="273">
        <f>21000</f>
        <v>21000</v>
      </c>
      <c r="E5" s="22"/>
      <c r="F5"/>
      <c r="G5" t="s">
        <v>13</v>
      </c>
      <c r="H5" s="280" t="e">
        <f>#REF!</f>
        <v>#REF!</v>
      </c>
      <c r="I5" s="273">
        <v>21024.5</v>
      </c>
      <c r="J5" s="277">
        <v>1429666</v>
      </c>
      <c r="L5" s="285"/>
      <c r="M5" s="285" t="s">
        <v>356</v>
      </c>
      <c r="N5" s="18" t="e">
        <f>#REF!*$H$5</f>
        <v>#REF!</v>
      </c>
      <c r="O5" s="273" t="e">
        <f>#REF!</f>
        <v>#REF!</v>
      </c>
      <c r="P5" s="277" t="e">
        <f t="shared" ref="P5:P14" si="0">O5*N5</f>
        <v>#REF!</v>
      </c>
    </row>
    <row r="6" spans="2:20" ht="15.75" thickBot="1">
      <c r="B6"/>
      <c r="C6" s="274" t="s">
        <v>219</v>
      </c>
      <c r="D6" s="275">
        <f>SUM(D4:D5)</f>
        <v>2100290.0261538462</v>
      </c>
      <c r="E6" s="22"/>
      <c r="F6"/>
      <c r="G6" t="s">
        <v>6</v>
      </c>
      <c r="H6" s="276"/>
      <c r="I6" s="273"/>
      <c r="J6" s="277">
        <v>628624.02615384618</v>
      </c>
      <c r="L6" s="285"/>
      <c r="M6" s="285" t="s">
        <v>357</v>
      </c>
      <c r="N6" s="18" t="e">
        <f>#REF!*$H$5</f>
        <v>#REF!</v>
      </c>
      <c r="O6" s="273" t="e">
        <f>#REF!</f>
        <v>#REF!</v>
      </c>
      <c r="P6" s="277" t="e">
        <f t="shared" si="0"/>
        <v>#REF!</v>
      </c>
    </row>
    <row r="7" spans="2:20">
      <c r="B7"/>
      <c r="C7"/>
      <c r="D7"/>
      <c r="E7" s="23"/>
      <c r="F7"/>
      <c r="G7" t="s">
        <v>369</v>
      </c>
      <c r="H7" s="276"/>
      <c r="I7" s="273"/>
      <c r="J7" s="277">
        <v>21000</v>
      </c>
      <c r="L7" s="285"/>
      <c r="M7" s="285" t="s">
        <v>248</v>
      </c>
      <c r="N7" s="18" t="e">
        <f>#REF!*$H$5</f>
        <v>#REF!</v>
      </c>
      <c r="O7" s="273" t="e">
        <f>#REF!</f>
        <v>#REF!</v>
      </c>
      <c r="P7" s="277" t="e">
        <f t="shared" si="0"/>
        <v>#REF!</v>
      </c>
    </row>
    <row r="8" spans="2:20" ht="15.75" thickBot="1">
      <c r="E8" s="24"/>
      <c r="F8"/>
      <c r="G8" s="271" t="s">
        <v>219</v>
      </c>
      <c r="H8" s="278"/>
      <c r="I8" s="278"/>
      <c r="J8" s="279">
        <f>SUM(J4:J7)</f>
        <v>2079290.0261538462</v>
      </c>
      <c r="L8" s="285"/>
      <c r="M8" s="285" t="s">
        <v>244</v>
      </c>
      <c r="N8" s="18" t="e">
        <f>#REF!*$H$5</f>
        <v>#REF!</v>
      </c>
      <c r="O8" s="273" t="e">
        <f>#REF!</f>
        <v>#REF!</v>
      </c>
      <c r="P8" s="277" t="e">
        <f t="shared" si="0"/>
        <v>#REF!</v>
      </c>
    </row>
    <row r="9" spans="2:20">
      <c r="E9" s="24"/>
      <c r="F9"/>
      <c r="G9"/>
      <c r="H9" s="12"/>
      <c r="I9" s="19"/>
      <c r="J9" s="20"/>
      <c r="L9" s="285"/>
      <c r="M9" s="285" t="s">
        <v>249</v>
      </c>
      <c r="N9" s="18" t="e">
        <f>#REF!*$H$5</f>
        <v>#REF!</v>
      </c>
      <c r="O9" s="273" t="e">
        <f>#REF!</f>
        <v>#REF!</v>
      </c>
      <c r="P9" s="277" t="e">
        <f t="shared" si="0"/>
        <v>#REF!</v>
      </c>
    </row>
    <row r="10" spans="2:20">
      <c r="E10" s="24"/>
      <c r="L10" s="285"/>
      <c r="M10" s="285" t="s">
        <v>245</v>
      </c>
      <c r="N10" s="18" t="e">
        <f>#REF!*$H$5</f>
        <v>#REF!</v>
      </c>
      <c r="O10" s="273" t="e">
        <f>#REF!</f>
        <v>#REF!</v>
      </c>
      <c r="P10" s="277" t="e">
        <f t="shared" si="0"/>
        <v>#REF!</v>
      </c>
    </row>
    <row r="11" spans="2:20">
      <c r="E11" s="24"/>
      <c r="L11" s="285"/>
      <c r="M11" s="285" t="s">
        <v>246</v>
      </c>
      <c r="N11" s="18" t="e">
        <f>#REF!*$H$5</f>
        <v>#REF!</v>
      </c>
      <c r="O11" s="273" t="e">
        <f>#REF!</f>
        <v>#REF!</v>
      </c>
      <c r="P11" s="277" t="e">
        <f t="shared" si="0"/>
        <v>#REF!</v>
      </c>
    </row>
    <row r="12" spans="2:20">
      <c r="L12" s="285"/>
      <c r="M12" s="285" t="s">
        <v>250</v>
      </c>
      <c r="N12" s="18" t="e">
        <f>#REF!*$H$5</f>
        <v>#REF!</v>
      </c>
      <c r="O12" s="273" t="e">
        <f>#REF!</f>
        <v>#REF!</v>
      </c>
      <c r="P12" s="277" t="e">
        <f t="shared" si="0"/>
        <v>#REF!</v>
      </c>
    </row>
    <row r="13" spans="2:20">
      <c r="L13" s="285"/>
      <c r="M13" s="285" t="s">
        <v>251</v>
      </c>
      <c r="N13" s="18" t="e">
        <f>#REF!*$H$5</f>
        <v>#REF!</v>
      </c>
      <c r="O13" s="273" t="e">
        <f>#REF!</f>
        <v>#REF!</v>
      </c>
      <c r="P13" s="277" t="e">
        <f t="shared" si="0"/>
        <v>#REF!</v>
      </c>
    </row>
    <row r="14" spans="2:20">
      <c r="L14" s="285"/>
      <c r="M14" s="285" t="s">
        <v>252</v>
      </c>
      <c r="N14" s="18" t="e">
        <f>#REF!*$H$5</f>
        <v>#REF!</v>
      </c>
      <c r="O14" s="273" t="e">
        <f>#REF!</f>
        <v>#REF!</v>
      </c>
      <c r="P14" s="277" t="e">
        <f t="shared" si="0"/>
        <v>#REF!</v>
      </c>
    </row>
    <row r="15" spans="2:20" ht="15.75" thickBot="1">
      <c r="L15" s="285"/>
      <c r="M15" s="288" t="s">
        <v>7</v>
      </c>
      <c r="N15" s="289"/>
      <c r="O15" s="278"/>
      <c r="P15" s="279" t="e">
        <f>SUM(P4:P14)</f>
        <v>#REF!</v>
      </c>
      <c r="Q15" s="149"/>
    </row>
    <row r="16" spans="2:20">
      <c r="L16" s="285"/>
      <c r="M16" s="285"/>
      <c r="N16" s="282"/>
      <c r="O16" s="286"/>
      <c r="P16" s="287"/>
      <c r="Q16" s="149"/>
    </row>
    <row r="17" spans="5:17">
      <c r="Q17" s="268"/>
    </row>
    <row r="18" spans="5:17">
      <c r="Q18" s="268"/>
    </row>
    <row r="19" spans="5:17">
      <c r="Q19" s="268"/>
    </row>
    <row r="20" spans="5:17">
      <c r="Q20" s="268"/>
    </row>
    <row r="21" spans="5:17">
      <c r="Q21" s="268"/>
    </row>
    <row r="22" spans="5:17">
      <c r="Q22" s="268"/>
    </row>
    <row r="23" spans="5:17">
      <c r="N23" s="149"/>
      <c r="O23" s="149"/>
      <c r="P23" s="149"/>
      <c r="Q23" s="268"/>
    </row>
    <row r="24" spans="5:17">
      <c r="N24" s="148"/>
      <c r="O24" s="148"/>
      <c r="P24" s="148"/>
      <c r="Q24" s="268"/>
    </row>
    <row r="25" spans="5:17">
      <c r="N25" s="148" t="s">
        <v>257</v>
      </c>
      <c r="O25" s="148"/>
      <c r="P25" s="148"/>
      <c r="Q25" s="149"/>
    </row>
    <row r="26" spans="5:17">
      <c r="N26" s="154"/>
      <c r="O26" s="148">
        <f>_xlfn.MINIFS(N27:N30,N27:N30,"&gt;=0")</f>
        <v>0</v>
      </c>
      <c r="P26" s="270" t="e">
        <f>SUMIF(N27:N30,O26,#REF!)</f>
        <v>#REF!</v>
      </c>
      <c r="Q26" s="149"/>
    </row>
    <row r="27" spans="5:17">
      <c r="N27" s="154" t="e">
        <f>#REF!-#REF!</f>
        <v>#REF!</v>
      </c>
      <c r="O27" s="148"/>
      <c r="P27" s="148"/>
    </row>
    <row r="28" spans="5:17">
      <c r="N28" s="154" t="e">
        <f>#REF!-J20</f>
        <v>#REF!</v>
      </c>
      <c r="O28" s="148"/>
      <c r="P28" s="148"/>
    </row>
    <row r="29" spans="5:17">
      <c r="N29" s="154" t="e">
        <f>#REF!-#REF!</f>
        <v>#REF!</v>
      </c>
      <c r="O29" s="148"/>
      <c r="P29" s="148"/>
    </row>
    <row r="30" spans="5:17">
      <c r="N30" s="154"/>
      <c r="O30" s="148"/>
      <c r="P30" s="148"/>
    </row>
    <row r="31" spans="5:17">
      <c r="N31" s="269"/>
      <c r="O31" s="268"/>
      <c r="P31" s="268"/>
    </row>
    <row r="32" spans="5:17">
      <c r="N32" s="268"/>
      <c r="O32" s="268"/>
      <c r="P32" s="268"/>
    </row>
    <row r="33" spans="14:16">
      <c r="N33" s="149"/>
      <c r="O33" s="149"/>
      <c r="P33" s="149"/>
    </row>
    <row r="34" spans="14:16">
      <c r="N34" s="149"/>
      <c r="O34" s="149"/>
      <c r="P34" s="149"/>
    </row>
    <row r="35" spans="14:16">
      <c r="N35" s="148"/>
      <c r="O35" s="148"/>
      <c r="P35" s="148"/>
    </row>
    <row r="36" spans="14:16">
      <c r="N36" s="148"/>
      <c r="O36" s="148"/>
      <c r="P36" s="148"/>
    </row>
    <row r="37" spans="14:16">
      <c r="N37" s="148"/>
      <c r="O37" s="148"/>
      <c r="P37" s="148"/>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4F43B-2F64-4C38-8477-472A8E3D4099}">
  <sheetPr codeName="Sheet10">
    <tabColor rgb="FFFFFF00"/>
  </sheetPr>
  <dimension ref="A1:BF26"/>
  <sheetViews>
    <sheetView zoomScale="80" zoomScaleNormal="80" workbookViewId="0">
      <pane xSplit="1" topLeftCell="E1" activePane="topRight" state="frozen"/>
      <selection pane="topRight" activeCell="L39" sqref="L39"/>
    </sheetView>
  </sheetViews>
  <sheetFormatPr defaultColWidth="14" defaultRowHeight="15"/>
  <cols>
    <col min="1" max="6" width="16.5703125" style="3" customWidth="1"/>
    <col min="7" max="10" width="14" style="3"/>
    <col min="11" max="11" width="14.42578125" style="3" bestFit="1" customWidth="1"/>
    <col min="12" max="14" width="14" style="3"/>
    <col min="15" max="15" width="16.28515625" style="3" bestFit="1" customWidth="1"/>
    <col min="16" max="17" width="14" style="3"/>
    <col min="18" max="19" width="15.140625" style="3" bestFit="1" customWidth="1"/>
    <col min="20" max="22" width="14" style="3"/>
    <col min="23" max="23" width="15.7109375" style="3" customWidth="1"/>
    <col min="24" max="24" width="14" style="3"/>
    <col min="25" max="25" width="18.42578125" style="3" bestFit="1" customWidth="1"/>
    <col min="26" max="30" width="14" style="3"/>
    <col min="31" max="32" width="16" style="3" bestFit="1" customWidth="1"/>
    <col min="33" max="33" width="18.140625" style="3" bestFit="1" customWidth="1"/>
    <col min="34" max="35" width="14" style="3"/>
    <col min="36" max="36" width="15.140625" style="3" bestFit="1" customWidth="1"/>
    <col min="37" max="38" width="14" style="3"/>
    <col min="39" max="39" width="15.140625" style="3" bestFit="1" customWidth="1"/>
    <col min="40" max="16384" width="14" style="3"/>
  </cols>
  <sheetData>
    <row r="1" spans="1:58" ht="32.25">
      <c r="A1" s="1" t="s">
        <v>70</v>
      </c>
      <c r="B1" s="1"/>
      <c r="C1" s="1"/>
      <c r="D1" s="1"/>
      <c r="E1" s="1"/>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row>
    <row r="2" spans="1:58" ht="23.25">
      <c r="A2" s="10"/>
      <c r="B2" s="10"/>
      <c r="C2" s="10"/>
      <c r="D2" s="10"/>
      <c r="E2" s="10"/>
      <c r="F2" s="10"/>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row>
    <row r="3" spans="1:58" ht="20.25">
      <c r="A3" s="11"/>
      <c r="B3" s="11"/>
      <c r="C3" s="11"/>
      <c r="D3" s="11"/>
      <c r="E3" s="11"/>
      <c r="F3" s="11"/>
      <c r="G3" s="12"/>
      <c r="H3" s="31" t="s">
        <v>72</v>
      </c>
      <c r="I3" s="12"/>
      <c r="J3" s="12"/>
      <c r="K3" s="31" t="s">
        <v>78</v>
      </c>
      <c r="L3" s="30"/>
      <c r="M3" s="28"/>
      <c r="N3" s="31" t="s">
        <v>68</v>
      </c>
      <c r="O3" s="28"/>
      <c r="P3" s="28"/>
      <c r="Q3" s="12"/>
      <c r="R3" s="31" t="s">
        <v>78</v>
      </c>
      <c r="S3" s="12"/>
      <c r="T3" s="12"/>
      <c r="U3" s="31"/>
      <c r="V3" s="31"/>
      <c r="W3" s="31"/>
      <c r="X3" s="31"/>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row>
    <row r="4" spans="1:58" ht="20.25">
      <c r="A4" s="11"/>
      <c r="B4" s="11"/>
      <c r="C4" s="11"/>
      <c r="D4" s="11"/>
      <c r="E4" s="11"/>
      <c r="F4" s="11"/>
      <c r="G4" s="12"/>
      <c r="H4" s="29" t="s">
        <v>195</v>
      </c>
      <c r="I4" s="32" t="e">
        <f>#REF!</f>
        <v>#REF!</v>
      </c>
      <c r="J4" s="12"/>
      <c r="K4" s="29" t="s">
        <v>236</v>
      </c>
      <c r="L4" s="30"/>
      <c r="M4" s="79" t="e">
        <f>IF('Helper Sheet'!D3&gt;'Helper Sheet'!D4,'Cash Flow Old'!C13,'IS Analysis Full'!C14)</f>
        <v>#VALUE!</v>
      </c>
      <c r="N4" s="29" t="s">
        <v>230</v>
      </c>
      <c r="O4" s="80" t="e">
        <f>(F17/4*M5)+(M6*F18/4)</f>
        <v>#REF!</v>
      </c>
      <c r="P4" s="29" t="s">
        <v>234</v>
      </c>
      <c r="Q4" s="80" t="e">
        <f>SUM(O4:O6)</f>
        <v>#REF!</v>
      </c>
      <c r="R4" s="12" t="s">
        <v>81</v>
      </c>
      <c r="S4" s="80">
        <v>2000000</v>
      </c>
      <c r="T4" s="12"/>
      <c r="U4" s="31"/>
      <c r="V4" s="31"/>
      <c r="W4" s="31"/>
      <c r="X4" s="31"/>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row>
    <row r="5" spans="1:58" ht="20.25">
      <c r="A5" s="11"/>
      <c r="B5" s="11"/>
      <c r="C5" s="11"/>
      <c r="D5" s="11"/>
      <c r="E5" s="11"/>
      <c r="F5" s="11"/>
      <c r="G5" s="12"/>
      <c r="H5" s="29" t="s">
        <v>71</v>
      </c>
      <c r="I5" s="32" t="e">
        <f>SUM(#REF!)</f>
        <v>#REF!</v>
      </c>
      <c r="J5" s="12"/>
      <c r="K5" s="29" t="s">
        <v>79</v>
      </c>
      <c r="L5" s="30"/>
      <c r="M5" s="80" t="e">
        <f>#REF!</f>
        <v>#REF!</v>
      </c>
      <c r="N5" s="29" t="s">
        <v>6</v>
      </c>
      <c r="O5" s="80" t="e">
        <f>AVERAGE(#REF!,#REF!)*SUM('Gant Chart Old'!F17:F18)</f>
        <v>#REF!</v>
      </c>
      <c r="P5" s="28"/>
      <c r="Q5" s="85"/>
      <c r="R5" s="33"/>
      <c r="S5" s="12"/>
      <c r="T5" s="12"/>
      <c r="U5" s="31"/>
      <c r="V5" s="31"/>
      <c r="W5" s="31"/>
      <c r="X5" s="31"/>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row>
    <row r="6" spans="1:58" ht="20.25">
      <c r="A6" s="11"/>
      <c r="B6" s="11"/>
      <c r="C6" s="11"/>
      <c r="D6" s="11"/>
      <c r="E6" s="11"/>
      <c r="F6" s="11"/>
      <c r="G6" s="12"/>
      <c r="H6" s="68" t="s">
        <v>88</v>
      </c>
      <c r="I6" s="32" t="e">
        <f>SUM(I4:I5)</f>
        <v>#REF!</v>
      </c>
      <c r="J6" s="12"/>
      <c r="K6" s="29" t="s">
        <v>80</v>
      </c>
      <c r="L6" s="30"/>
      <c r="M6" s="80" t="e">
        <f>#REF!</f>
        <v>#REF!</v>
      </c>
      <c r="N6" s="29" t="s">
        <v>231</v>
      </c>
      <c r="O6" s="80" t="e">
        <f>SUM(F24,F25)</f>
        <v>#REF!</v>
      </c>
      <c r="P6" s="28"/>
      <c r="Q6" s="12"/>
      <c r="R6" s="12"/>
      <c r="S6" s="12"/>
      <c r="T6" s="12"/>
      <c r="U6" s="31"/>
      <c r="V6" s="31"/>
      <c r="W6" s="31"/>
      <c r="X6" s="31"/>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row>
    <row r="7" spans="1:58" ht="20.25">
      <c r="A7" s="11"/>
      <c r="B7" s="11"/>
      <c r="C7" s="11"/>
      <c r="D7" s="11"/>
      <c r="E7" s="11"/>
      <c r="F7" s="11"/>
      <c r="G7" s="35"/>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row>
    <row r="8" spans="1:58">
      <c r="A8" s="38"/>
      <c r="B8" s="38"/>
      <c r="C8" s="38"/>
      <c r="D8" s="38"/>
      <c r="E8" s="38"/>
      <c r="F8" s="38"/>
      <c r="G8" s="38"/>
      <c r="H8" s="38"/>
      <c r="I8" s="38"/>
      <c r="J8" s="38"/>
      <c r="K8" s="38"/>
      <c r="L8" s="38"/>
      <c r="M8" s="38"/>
      <c r="N8" s="38"/>
      <c r="O8" s="38"/>
      <c r="P8" s="38"/>
      <c r="Q8" s="38"/>
      <c r="R8" s="38"/>
      <c r="S8" s="38"/>
      <c r="T8" s="38"/>
      <c r="U8" s="38"/>
      <c r="V8" s="38"/>
      <c r="W8" s="38"/>
      <c r="X8" s="38"/>
      <c r="Y8" s="38"/>
      <c r="Z8" s="38"/>
      <c r="AA8" s="38"/>
      <c r="AB8" s="38"/>
      <c r="AC8" s="38"/>
      <c r="AD8" s="38"/>
      <c r="AE8" s="38"/>
      <c r="AF8" s="38"/>
      <c r="AG8" s="38"/>
      <c r="AH8" s="38"/>
      <c r="AI8" s="38"/>
      <c r="AJ8" s="38"/>
      <c r="AK8" s="38"/>
      <c r="AL8" s="38"/>
      <c r="AM8" s="38"/>
      <c r="AN8" s="38"/>
      <c r="AO8" s="38"/>
      <c r="AP8" s="38"/>
      <c r="AQ8" s="38"/>
      <c r="AR8" s="38"/>
      <c r="AS8" s="38"/>
      <c r="AT8" s="38"/>
      <c r="AU8" s="38"/>
      <c r="AV8" s="38"/>
      <c r="AW8" s="38"/>
      <c r="AX8" s="38"/>
      <c r="AY8" s="38"/>
      <c r="AZ8" s="38"/>
      <c r="BA8" s="38"/>
      <c r="BB8" s="38"/>
      <c r="BC8" s="38"/>
      <c r="BD8" s="38"/>
      <c r="BE8" s="38"/>
      <c r="BF8" s="38"/>
    </row>
    <row r="9" spans="1:58" ht="15.75" thickBot="1">
      <c r="A9" s="14"/>
      <c r="B9" s="14"/>
      <c r="C9" s="14"/>
      <c r="D9" s="14"/>
      <c r="E9" s="14"/>
      <c r="F9" s="14"/>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row>
    <row r="10" spans="1:58">
      <c r="A10" s="8" t="s">
        <v>73</v>
      </c>
      <c r="B10" s="8" t="s">
        <v>82</v>
      </c>
      <c r="C10" s="8" t="s">
        <v>213</v>
      </c>
      <c r="D10" s="8" t="s">
        <v>214</v>
      </c>
      <c r="E10" s="8" t="s">
        <v>215</v>
      </c>
      <c r="F10" s="8" t="s">
        <v>85</v>
      </c>
      <c r="G10" s="69">
        <v>1</v>
      </c>
      <c r="H10" s="69">
        <v>2</v>
      </c>
      <c r="I10" s="69">
        <v>3</v>
      </c>
      <c r="J10" s="69">
        <v>4</v>
      </c>
      <c r="K10" s="69">
        <v>5</v>
      </c>
      <c r="L10" s="69">
        <v>6</v>
      </c>
      <c r="M10" s="69">
        <v>7</v>
      </c>
      <c r="N10" s="69">
        <v>8</v>
      </c>
      <c r="O10" s="69">
        <v>9</v>
      </c>
      <c r="P10" s="69">
        <v>10</v>
      </c>
      <c r="Q10" s="69">
        <v>11</v>
      </c>
      <c r="R10" s="69">
        <v>12</v>
      </c>
      <c r="S10" s="69">
        <v>13</v>
      </c>
      <c r="T10" s="69">
        <v>14</v>
      </c>
      <c r="U10" s="69">
        <v>15</v>
      </c>
      <c r="V10" s="69">
        <v>16</v>
      </c>
      <c r="W10" s="69">
        <v>17</v>
      </c>
      <c r="X10" s="69">
        <v>18</v>
      </c>
      <c r="Y10" s="69">
        <v>19</v>
      </c>
      <c r="Z10" s="69">
        <v>20</v>
      </c>
      <c r="AA10" s="69">
        <v>21</v>
      </c>
      <c r="AB10" s="69">
        <v>22</v>
      </c>
      <c r="AC10" s="69">
        <v>23</v>
      </c>
      <c r="AD10" s="69">
        <v>24</v>
      </c>
      <c r="AE10" s="69">
        <v>25</v>
      </c>
      <c r="AF10" s="69">
        <v>26</v>
      </c>
      <c r="AG10" s="69">
        <v>27</v>
      </c>
      <c r="AH10" s="69">
        <v>28</v>
      </c>
      <c r="AI10" s="69">
        <v>29</v>
      </c>
      <c r="AJ10" s="69">
        <v>30</v>
      </c>
      <c r="AK10" s="69">
        <v>31</v>
      </c>
      <c r="AL10" s="69">
        <v>32</v>
      </c>
      <c r="AM10" s="69">
        <v>33</v>
      </c>
      <c r="AN10" s="69">
        <v>34</v>
      </c>
      <c r="AO10" s="69">
        <v>35</v>
      </c>
      <c r="AP10" s="69">
        <v>36</v>
      </c>
      <c r="AQ10" s="69">
        <v>37</v>
      </c>
      <c r="AR10" s="69">
        <v>38</v>
      </c>
      <c r="AS10" s="69">
        <v>39</v>
      </c>
      <c r="AT10" s="69">
        <v>40</v>
      </c>
      <c r="AU10" s="69">
        <v>41</v>
      </c>
      <c r="AV10" s="69">
        <v>42</v>
      </c>
      <c r="AW10" s="69">
        <v>43</v>
      </c>
      <c r="AX10" s="69">
        <v>44</v>
      </c>
      <c r="AY10" s="69">
        <v>45</v>
      </c>
      <c r="AZ10" s="69">
        <v>46</v>
      </c>
      <c r="BA10" s="69">
        <v>47</v>
      </c>
      <c r="BB10" s="69">
        <v>48</v>
      </c>
      <c r="BC10" s="69">
        <v>49</v>
      </c>
      <c r="BD10" s="69">
        <v>50</v>
      </c>
      <c r="BE10" s="69">
        <v>51</v>
      </c>
      <c r="BF10" s="69">
        <v>52</v>
      </c>
    </row>
    <row r="11" spans="1:58">
      <c r="A11" s="70" t="s">
        <v>211</v>
      </c>
      <c r="B11" s="143">
        <f>SUM(G11:BF11)</f>
        <v>500</v>
      </c>
      <c r="C11" s="143">
        <f>COUNTIF($G$11:$BF$11,66)</f>
        <v>4</v>
      </c>
      <c r="D11" s="143">
        <f>COUNTIF($G$11:$BF$11,4)</f>
        <v>4</v>
      </c>
      <c r="E11" s="143">
        <f>COUNTIF($G$11:$BF$11,"&gt;0")-SUM(C11:D11)</f>
        <v>4</v>
      </c>
      <c r="F11" s="143">
        <f>SUM(G11:BF11)</f>
        <v>500</v>
      </c>
      <c r="G11" s="86">
        <v>66</v>
      </c>
      <c r="H11" s="86">
        <v>0</v>
      </c>
      <c r="I11" s="86">
        <v>0</v>
      </c>
      <c r="J11" s="86">
        <v>0</v>
      </c>
      <c r="K11" s="86">
        <v>0</v>
      </c>
      <c r="L11" s="86">
        <v>0</v>
      </c>
      <c r="M11" s="86">
        <v>0</v>
      </c>
      <c r="N11" s="86">
        <v>0</v>
      </c>
      <c r="O11" s="86">
        <v>0</v>
      </c>
      <c r="P11" s="86">
        <v>66</v>
      </c>
      <c r="Q11" s="86">
        <v>0</v>
      </c>
      <c r="R11" s="86">
        <f>54</f>
        <v>54</v>
      </c>
      <c r="S11" s="86">
        <v>0</v>
      </c>
      <c r="T11" s="86">
        <v>0</v>
      </c>
      <c r="U11" s="86">
        <v>0</v>
      </c>
      <c r="V11" s="86">
        <v>0</v>
      </c>
      <c r="W11" s="86">
        <v>4</v>
      </c>
      <c r="X11" s="86">
        <v>4</v>
      </c>
      <c r="Y11" s="86">
        <v>0</v>
      </c>
      <c r="Z11" s="86">
        <v>0</v>
      </c>
      <c r="AA11" s="86">
        <v>54</v>
      </c>
      <c r="AB11" s="86">
        <v>0</v>
      </c>
      <c r="AC11" s="86">
        <v>4</v>
      </c>
      <c r="AD11" s="86">
        <v>0</v>
      </c>
      <c r="AE11" s="86">
        <v>66</v>
      </c>
      <c r="AF11" s="86">
        <v>0</v>
      </c>
      <c r="AG11" s="86">
        <v>0</v>
      </c>
      <c r="AH11" s="86">
        <v>0</v>
      </c>
      <c r="AI11" s="86">
        <v>0</v>
      </c>
      <c r="AJ11" s="86">
        <v>0</v>
      </c>
      <c r="AK11" s="86">
        <v>0</v>
      </c>
      <c r="AL11" s="86">
        <v>0</v>
      </c>
      <c r="AM11" s="86">
        <v>0</v>
      </c>
      <c r="AN11" s="86">
        <v>66</v>
      </c>
      <c r="AO11" s="86">
        <v>54</v>
      </c>
      <c r="AP11" s="86">
        <v>0</v>
      </c>
      <c r="AQ11" s="86">
        <v>0</v>
      </c>
      <c r="AR11" s="86">
        <v>0</v>
      </c>
      <c r="AS11" s="86">
        <v>0</v>
      </c>
      <c r="AT11" s="86">
        <v>4</v>
      </c>
      <c r="AU11" s="86">
        <v>0</v>
      </c>
      <c r="AV11" s="86">
        <v>0</v>
      </c>
      <c r="AW11" s="86">
        <v>0</v>
      </c>
      <c r="AX11" s="86">
        <v>58</v>
      </c>
      <c r="AY11" s="86">
        <v>0</v>
      </c>
      <c r="AZ11" s="86">
        <v>0</v>
      </c>
      <c r="BA11" s="86">
        <v>0</v>
      </c>
      <c r="BB11" s="86">
        <v>0</v>
      </c>
      <c r="BC11" s="86">
        <v>0</v>
      </c>
      <c r="BD11" s="86">
        <v>0</v>
      </c>
      <c r="BE11" s="86">
        <v>0</v>
      </c>
      <c r="BF11" s="86">
        <v>0</v>
      </c>
    </row>
    <row r="12" spans="1:58">
      <c r="A12" s="70" t="s">
        <v>212</v>
      </c>
      <c r="B12" s="82"/>
      <c r="C12" s="82"/>
      <c r="D12" s="82"/>
      <c r="E12" s="82"/>
      <c r="F12" s="82">
        <f t="shared" ref="F12:F16" si="0">SUM(G12:BF12)</f>
        <v>8</v>
      </c>
      <c r="G12" s="86">
        <v>1</v>
      </c>
      <c r="H12" s="86"/>
      <c r="I12" s="86"/>
      <c r="J12" s="86"/>
      <c r="K12" s="86"/>
      <c r="L12" s="86"/>
      <c r="M12" s="86"/>
      <c r="N12" s="86"/>
      <c r="O12" s="86"/>
      <c r="P12" s="86">
        <v>1</v>
      </c>
      <c r="Q12" s="86"/>
      <c r="R12" s="86">
        <v>1</v>
      </c>
      <c r="S12" s="86"/>
      <c r="T12" s="86"/>
      <c r="U12" s="86"/>
      <c r="V12" s="86"/>
      <c r="W12" s="86"/>
      <c r="X12" s="86"/>
      <c r="Y12" s="86"/>
      <c r="Z12" s="86"/>
      <c r="AA12" s="86">
        <v>1</v>
      </c>
      <c r="AB12" s="86"/>
      <c r="AC12" s="86"/>
      <c r="AD12" s="86"/>
      <c r="AE12" s="86">
        <v>1</v>
      </c>
      <c r="AF12" s="86"/>
      <c r="AG12" s="86"/>
      <c r="AH12" s="86"/>
      <c r="AI12" s="86"/>
      <c r="AJ12" s="86"/>
      <c r="AK12" s="86"/>
      <c r="AL12" s="86"/>
      <c r="AM12" s="86"/>
      <c r="AN12" s="86">
        <v>1</v>
      </c>
      <c r="AO12" s="86">
        <v>1</v>
      </c>
      <c r="AP12" s="86"/>
      <c r="AQ12" s="86"/>
      <c r="AR12" s="86"/>
      <c r="AS12" s="86"/>
      <c r="AT12" s="86"/>
      <c r="AU12" s="86"/>
      <c r="AV12" s="86"/>
      <c r="AW12" s="86"/>
      <c r="AX12" s="86">
        <v>1</v>
      </c>
      <c r="AY12" s="86"/>
      <c r="AZ12" s="86"/>
      <c r="BA12" s="86"/>
      <c r="BB12" s="86"/>
      <c r="BC12" s="86"/>
      <c r="BD12" s="86"/>
      <c r="BE12" s="86"/>
      <c r="BF12" s="86"/>
    </row>
    <row r="13" spans="1:58">
      <c r="A13" s="71" t="s">
        <v>74</v>
      </c>
      <c r="B13" s="74">
        <f t="shared" ref="B13:B18" si="1">SUM(G13:BF13)</f>
        <v>1072</v>
      </c>
      <c r="C13" s="74"/>
      <c r="D13" s="74"/>
      <c r="E13" s="74"/>
      <c r="F13" s="74">
        <f>SUM(G13:BF13)</f>
        <v>1072</v>
      </c>
      <c r="G13" s="86">
        <v>0</v>
      </c>
      <c r="H13" s="86">
        <v>67</v>
      </c>
      <c r="I13" s="86">
        <v>67</v>
      </c>
      <c r="J13" s="86">
        <v>67</v>
      </c>
      <c r="K13" s="86">
        <v>67</v>
      </c>
      <c r="L13" s="86">
        <v>67</v>
      </c>
      <c r="M13" s="86">
        <v>67</v>
      </c>
      <c r="N13" s="86">
        <v>67</v>
      </c>
      <c r="O13" s="86">
        <v>67</v>
      </c>
      <c r="P13" s="86">
        <v>0</v>
      </c>
      <c r="Q13" s="86">
        <v>0</v>
      </c>
      <c r="R13" s="86">
        <v>0</v>
      </c>
      <c r="S13" s="86">
        <v>0</v>
      </c>
      <c r="T13" s="86">
        <v>0</v>
      </c>
      <c r="U13" s="86">
        <v>0</v>
      </c>
      <c r="V13" s="86">
        <v>0</v>
      </c>
      <c r="W13" s="86"/>
      <c r="X13" s="86">
        <v>0</v>
      </c>
      <c r="Y13" s="86">
        <v>0</v>
      </c>
      <c r="Z13" s="86">
        <v>0</v>
      </c>
      <c r="AA13" s="86">
        <v>0</v>
      </c>
      <c r="AB13" s="86"/>
      <c r="AC13" s="86">
        <v>0</v>
      </c>
      <c r="AD13" s="86">
        <v>0</v>
      </c>
      <c r="AE13" s="86">
        <v>0</v>
      </c>
      <c r="AF13" s="86">
        <v>67</v>
      </c>
      <c r="AG13" s="86">
        <v>67</v>
      </c>
      <c r="AH13" s="86">
        <v>67</v>
      </c>
      <c r="AI13" s="86">
        <v>67</v>
      </c>
      <c r="AJ13" s="86">
        <v>67</v>
      </c>
      <c r="AK13" s="86">
        <v>67</v>
      </c>
      <c r="AL13" s="86">
        <v>67</v>
      </c>
      <c r="AM13" s="86">
        <v>67</v>
      </c>
      <c r="AN13" s="86">
        <v>0</v>
      </c>
      <c r="AO13" s="86">
        <v>0</v>
      </c>
      <c r="AP13" s="86">
        <v>0</v>
      </c>
      <c r="AQ13" s="86">
        <v>0</v>
      </c>
      <c r="AR13" s="86">
        <v>0</v>
      </c>
      <c r="AS13" s="86">
        <v>0</v>
      </c>
      <c r="AT13" s="86"/>
      <c r="AU13" s="86"/>
      <c r="AV13" s="86">
        <v>0</v>
      </c>
      <c r="AW13" s="86">
        <v>0</v>
      </c>
      <c r="AX13" s="86">
        <v>0</v>
      </c>
      <c r="AY13" s="86">
        <v>0</v>
      </c>
      <c r="AZ13" s="86">
        <v>0</v>
      </c>
      <c r="BA13" s="86">
        <v>0</v>
      </c>
      <c r="BB13" s="86">
        <v>0</v>
      </c>
      <c r="BC13" s="86">
        <v>0</v>
      </c>
      <c r="BD13" s="86">
        <v>0</v>
      </c>
      <c r="BE13" s="86">
        <v>0</v>
      </c>
      <c r="BF13" s="86">
        <v>0</v>
      </c>
    </row>
    <row r="14" spans="1:58">
      <c r="A14" s="73" t="s">
        <v>75</v>
      </c>
      <c r="B14" s="75">
        <f t="shared" si="1"/>
        <v>48</v>
      </c>
      <c r="C14" s="75"/>
      <c r="D14" s="75"/>
      <c r="E14" s="75"/>
      <c r="F14" s="75">
        <f t="shared" si="0"/>
        <v>48</v>
      </c>
      <c r="G14" s="86">
        <v>0</v>
      </c>
      <c r="H14" s="86">
        <v>0</v>
      </c>
      <c r="I14" s="86">
        <v>0</v>
      </c>
      <c r="J14" s="86">
        <v>0</v>
      </c>
      <c r="K14" s="86">
        <v>0</v>
      </c>
      <c r="L14" s="86">
        <v>0</v>
      </c>
      <c r="M14" s="86">
        <v>0</v>
      </c>
      <c r="N14" s="86">
        <v>0</v>
      </c>
      <c r="O14" s="86">
        <v>0</v>
      </c>
      <c r="P14" s="86">
        <v>0</v>
      </c>
      <c r="Q14" s="86">
        <v>0</v>
      </c>
      <c r="R14" s="86">
        <v>0</v>
      </c>
      <c r="S14" s="86">
        <v>4</v>
      </c>
      <c r="T14" s="86">
        <v>4</v>
      </c>
      <c r="U14" s="86">
        <v>4</v>
      </c>
      <c r="V14" s="86">
        <v>4</v>
      </c>
      <c r="W14" s="86">
        <v>0</v>
      </c>
      <c r="X14" s="86">
        <v>0</v>
      </c>
      <c r="Y14" s="86">
        <v>4</v>
      </c>
      <c r="Z14" s="86">
        <v>4</v>
      </c>
      <c r="AA14" s="86">
        <v>4</v>
      </c>
      <c r="AB14" s="86">
        <v>4</v>
      </c>
      <c r="AC14" s="86">
        <v>0</v>
      </c>
      <c r="AD14" s="86">
        <v>0</v>
      </c>
      <c r="AE14" s="86">
        <v>0</v>
      </c>
      <c r="AF14" s="86">
        <v>0</v>
      </c>
      <c r="AG14" s="86">
        <v>0</v>
      </c>
      <c r="AH14" s="86">
        <v>0</v>
      </c>
      <c r="AI14" s="86">
        <v>0</v>
      </c>
      <c r="AJ14" s="86">
        <v>0</v>
      </c>
      <c r="AK14" s="86">
        <v>0</v>
      </c>
      <c r="AL14" s="86">
        <v>0</v>
      </c>
      <c r="AM14" s="86">
        <v>0</v>
      </c>
      <c r="AN14" s="86">
        <v>0</v>
      </c>
      <c r="AO14" s="86">
        <v>0</v>
      </c>
      <c r="AP14" s="86">
        <v>4</v>
      </c>
      <c r="AQ14" s="86">
        <v>4</v>
      </c>
      <c r="AR14" s="86">
        <v>4</v>
      </c>
      <c r="AS14" s="86">
        <v>4</v>
      </c>
      <c r="AT14" s="86">
        <v>0</v>
      </c>
      <c r="AU14" s="86">
        <v>0</v>
      </c>
      <c r="AV14" s="86">
        <v>0</v>
      </c>
      <c r="AW14" s="86">
        <v>0</v>
      </c>
      <c r="AX14" s="86">
        <v>0</v>
      </c>
      <c r="AY14" s="86">
        <v>0</v>
      </c>
      <c r="AZ14" s="86">
        <v>0</v>
      </c>
      <c r="BA14" s="86">
        <v>0</v>
      </c>
      <c r="BB14" s="86">
        <v>0</v>
      </c>
      <c r="BC14" s="86">
        <v>0</v>
      </c>
      <c r="BD14" s="86">
        <v>0</v>
      </c>
      <c r="BE14" s="86">
        <v>0</v>
      </c>
      <c r="BF14" s="86">
        <v>0</v>
      </c>
    </row>
    <row r="15" spans="1:58">
      <c r="A15" s="136" t="s">
        <v>76</v>
      </c>
      <c r="B15" s="83">
        <f t="shared" si="1"/>
        <v>201</v>
      </c>
      <c r="C15" s="83"/>
      <c r="D15" s="83"/>
      <c r="E15" s="83"/>
      <c r="F15" s="83">
        <f t="shared" si="0"/>
        <v>201</v>
      </c>
      <c r="G15" s="86">
        <v>0</v>
      </c>
      <c r="H15" s="86">
        <v>0</v>
      </c>
      <c r="I15" s="86">
        <v>0</v>
      </c>
      <c r="J15" s="86">
        <v>0</v>
      </c>
      <c r="K15" s="86">
        <v>0</v>
      </c>
      <c r="L15" s="86">
        <v>0</v>
      </c>
      <c r="M15" s="86">
        <v>0</v>
      </c>
      <c r="N15" s="86">
        <v>0</v>
      </c>
      <c r="O15" s="86">
        <v>0</v>
      </c>
      <c r="P15" s="86">
        <v>0</v>
      </c>
      <c r="Q15" s="86">
        <v>67</v>
      </c>
      <c r="R15" s="86">
        <v>0</v>
      </c>
      <c r="S15" s="86">
        <v>0</v>
      </c>
      <c r="T15" s="86">
        <v>0</v>
      </c>
      <c r="U15" s="86">
        <v>0</v>
      </c>
      <c r="V15" s="86">
        <v>0</v>
      </c>
      <c r="W15" s="86">
        <v>0</v>
      </c>
      <c r="X15" s="86">
        <v>0</v>
      </c>
      <c r="Y15" s="86">
        <v>0</v>
      </c>
      <c r="Z15" s="86">
        <v>0</v>
      </c>
      <c r="AA15" s="86">
        <v>0</v>
      </c>
      <c r="AB15" s="86">
        <v>0</v>
      </c>
      <c r="AC15" s="86">
        <v>0</v>
      </c>
      <c r="AD15" s="86">
        <v>67</v>
      </c>
      <c r="AE15" s="86">
        <v>0</v>
      </c>
      <c r="AF15" s="86">
        <v>0</v>
      </c>
      <c r="AG15" s="86">
        <v>0</v>
      </c>
      <c r="AH15" s="86">
        <v>0</v>
      </c>
      <c r="AI15" s="86">
        <v>0</v>
      </c>
      <c r="AJ15" s="86">
        <v>0</v>
      </c>
      <c r="AK15" s="86">
        <v>0</v>
      </c>
      <c r="AL15" s="86">
        <v>0</v>
      </c>
      <c r="AM15" s="86">
        <v>0</v>
      </c>
      <c r="AN15" s="86">
        <v>0</v>
      </c>
      <c r="AO15" s="86">
        <v>0</v>
      </c>
      <c r="AP15" s="86">
        <v>0</v>
      </c>
      <c r="AQ15" s="86">
        <v>0</v>
      </c>
      <c r="AR15" s="86">
        <v>0</v>
      </c>
      <c r="AS15" s="86">
        <v>0</v>
      </c>
      <c r="AT15" s="86">
        <v>0</v>
      </c>
      <c r="AU15" s="86">
        <v>0</v>
      </c>
      <c r="AV15" s="86">
        <v>0</v>
      </c>
      <c r="AW15" s="86">
        <v>0</v>
      </c>
      <c r="AX15" s="86">
        <v>0</v>
      </c>
      <c r="AY15" s="86">
        <v>67</v>
      </c>
      <c r="AZ15" s="86">
        <v>0</v>
      </c>
      <c r="BA15" s="86">
        <v>0</v>
      </c>
      <c r="BB15" s="86">
        <v>0</v>
      </c>
      <c r="BC15" s="86">
        <v>0</v>
      </c>
      <c r="BD15" s="86">
        <v>0</v>
      </c>
      <c r="BE15" s="86">
        <v>0</v>
      </c>
      <c r="BF15" s="86">
        <v>0</v>
      </c>
    </row>
    <row r="16" spans="1:58">
      <c r="A16" s="134" t="s">
        <v>192</v>
      </c>
      <c r="B16" s="135"/>
      <c r="C16" s="135"/>
      <c r="D16" s="135"/>
      <c r="E16" s="135"/>
      <c r="F16" s="135" t="e">
        <f t="shared" si="0"/>
        <v>#REF!</v>
      </c>
      <c r="G16" s="86" t="e">
        <f>$I$6-G22</f>
        <v>#REF!</v>
      </c>
      <c r="H16" s="86" t="e">
        <f t="shared" ref="H16:BF16" si="2">$I$6-H22</f>
        <v>#REF!</v>
      </c>
      <c r="I16" s="86" t="e">
        <f t="shared" si="2"/>
        <v>#REF!</v>
      </c>
      <c r="J16" s="86" t="e">
        <f t="shared" si="2"/>
        <v>#REF!</v>
      </c>
      <c r="K16" s="86" t="e">
        <f t="shared" si="2"/>
        <v>#REF!</v>
      </c>
      <c r="L16" s="86" t="e">
        <f t="shared" si="2"/>
        <v>#REF!</v>
      </c>
      <c r="M16" s="86" t="e">
        <f t="shared" si="2"/>
        <v>#REF!</v>
      </c>
      <c r="N16" s="86" t="e">
        <f t="shared" si="2"/>
        <v>#REF!</v>
      </c>
      <c r="O16" s="86" t="e">
        <f t="shared" si="2"/>
        <v>#REF!</v>
      </c>
      <c r="P16" s="86" t="e">
        <f t="shared" si="2"/>
        <v>#REF!</v>
      </c>
      <c r="Q16" s="86" t="e">
        <f t="shared" si="2"/>
        <v>#REF!</v>
      </c>
      <c r="R16" s="86" t="e">
        <f t="shared" si="2"/>
        <v>#REF!</v>
      </c>
      <c r="S16" s="86" t="e">
        <f>$I$6-S22</f>
        <v>#REF!</v>
      </c>
      <c r="T16" s="86" t="e">
        <f t="shared" si="2"/>
        <v>#REF!</v>
      </c>
      <c r="U16" s="86" t="e">
        <f t="shared" si="2"/>
        <v>#REF!</v>
      </c>
      <c r="V16" s="86" t="e">
        <f t="shared" si="2"/>
        <v>#REF!</v>
      </c>
      <c r="W16" s="86" t="e">
        <f t="shared" si="2"/>
        <v>#REF!</v>
      </c>
      <c r="X16" s="86" t="e">
        <f t="shared" si="2"/>
        <v>#REF!</v>
      </c>
      <c r="Y16" s="86" t="e">
        <f t="shared" si="2"/>
        <v>#REF!</v>
      </c>
      <c r="Z16" s="86" t="e">
        <f t="shared" si="2"/>
        <v>#REF!</v>
      </c>
      <c r="AA16" s="86" t="e">
        <f t="shared" si="2"/>
        <v>#REF!</v>
      </c>
      <c r="AB16" s="86" t="e">
        <f t="shared" si="2"/>
        <v>#REF!</v>
      </c>
      <c r="AC16" s="86" t="e">
        <f t="shared" si="2"/>
        <v>#REF!</v>
      </c>
      <c r="AD16" s="86" t="e">
        <f t="shared" si="2"/>
        <v>#REF!</v>
      </c>
      <c r="AE16" s="86" t="e">
        <f>$I$6-AE22</f>
        <v>#REF!</v>
      </c>
      <c r="AF16" s="86" t="e">
        <f t="shared" ref="AF16:AT16" si="3">$I$6-AF22</f>
        <v>#REF!</v>
      </c>
      <c r="AG16" s="86" t="e">
        <f t="shared" si="3"/>
        <v>#REF!</v>
      </c>
      <c r="AH16" s="86" t="e">
        <f t="shared" si="3"/>
        <v>#REF!</v>
      </c>
      <c r="AI16" s="86" t="e">
        <f t="shared" si="3"/>
        <v>#REF!</v>
      </c>
      <c r="AJ16" s="86" t="e">
        <f t="shared" si="3"/>
        <v>#REF!</v>
      </c>
      <c r="AK16" s="86" t="e">
        <f t="shared" si="3"/>
        <v>#REF!</v>
      </c>
      <c r="AL16" s="86" t="e">
        <f t="shared" si="3"/>
        <v>#REF!</v>
      </c>
      <c r="AM16" s="86" t="e">
        <f t="shared" si="3"/>
        <v>#REF!</v>
      </c>
      <c r="AN16" s="86" t="e">
        <f t="shared" si="3"/>
        <v>#REF!</v>
      </c>
      <c r="AO16" s="86" t="e">
        <f t="shared" si="3"/>
        <v>#REF!</v>
      </c>
      <c r="AP16" s="86" t="e">
        <f t="shared" si="3"/>
        <v>#REF!</v>
      </c>
      <c r="AQ16" s="86" t="e">
        <f t="shared" si="3"/>
        <v>#REF!</v>
      </c>
      <c r="AR16" s="86" t="e">
        <f t="shared" si="3"/>
        <v>#REF!</v>
      </c>
      <c r="AS16" s="86" t="e">
        <f t="shared" si="3"/>
        <v>#REF!</v>
      </c>
      <c r="AT16" s="86" t="e">
        <f t="shared" si="3"/>
        <v>#REF!</v>
      </c>
      <c r="AU16" s="86" t="e">
        <f t="shared" si="2"/>
        <v>#REF!</v>
      </c>
      <c r="AV16" s="86" t="e">
        <f t="shared" si="2"/>
        <v>#REF!</v>
      </c>
      <c r="AW16" s="86" t="e">
        <f t="shared" si="2"/>
        <v>#REF!</v>
      </c>
      <c r="AX16" s="86" t="e">
        <f t="shared" si="2"/>
        <v>#REF!</v>
      </c>
      <c r="AY16" s="86" t="e">
        <f t="shared" si="2"/>
        <v>#REF!</v>
      </c>
      <c r="AZ16" s="86" t="e">
        <f t="shared" si="2"/>
        <v>#REF!</v>
      </c>
      <c r="BA16" s="86" t="e">
        <f t="shared" si="2"/>
        <v>#REF!</v>
      </c>
      <c r="BB16" s="86" t="e">
        <f t="shared" si="2"/>
        <v>#REF!</v>
      </c>
      <c r="BC16" s="86" t="e">
        <f t="shared" si="2"/>
        <v>#REF!</v>
      </c>
      <c r="BD16" s="86" t="e">
        <f t="shared" si="2"/>
        <v>#REF!</v>
      </c>
      <c r="BE16" s="86" t="e">
        <f t="shared" si="2"/>
        <v>#REF!</v>
      </c>
      <c r="BF16" s="86" t="e">
        <f t="shared" si="2"/>
        <v>#REF!</v>
      </c>
    </row>
    <row r="17" spans="1:58">
      <c r="A17" s="72" t="s">
        <v>83</v>
      </c>
      <c r="B17" s="76" t="e">
        <f t="shared" si="1"/>
        <v>#REF!</v>
      </c>
      <c r="C17" s="76"/>
      <c r="D17" s="76"/>
      <c r="E17" s="76"/>
      <c r="F17" s="150" t="e">
        <f>SUM(G17:BF17)</f>
        <v>#REF!</v>
      </c>
      <c r="G17" s="86"/>
      <c r="H17" s="86">
        <v>0</v>
      </c>
      <c r="I17" s="86">
        <v>0</v>
      </c>
      <c r="J17" s="86">
        <v>0</v>
      </c>
      <c r="K17" s="86">
        <v>0</v>
      </c>
      <c r="L17" s="86">
        <v>0</v>
      </c>
      <c r="M17" s="86">
        <v>0</v>
      </c>
      <c r="N17" s="86">
        <v>0</v>
      </c>
      <c r="O17" s="86">
        <v>0</v>
      </c>
      <c r="P17" s="86">
        <v>0</v>
      </c>
      <c r="Q17" s="86">
        <v>0</v>
      </c>
      <c r="R17" s="86">
        <v>0</v>
      </c>
      <c r="S17" s="86" t="e">
        <f>ROUNDDOWN(($I$5-S21)*$M$4,0)</f>
        <v>#REF!</v>
      </c>
      <c r="T17" s="86" t="e">
        <f t="shared" ref="T17:Z17" si="4">ROUNDDOWN(($I$5-T21)*$M$4,0)</f>
        <v>#REF!</v>
      </c>
      <c r="U17" s="86" t="e">
        <f t="shared" si="4"/>
        <v>#REF!</v>
      </c>
      <c r="V17" s="86" t="e">
        <f t="shared" si="4"/>
        <v>#REF!</v>
      </c>
      <c r="W17" s="86" t="e">
        <f t="shared" si="4"/>
        <v>#REF!</v>
      </c>
      <c r="X17" s="86" t="e">
        <f t="shared" si="4"/>
        <v>#REF!</v>
      </c>
      <c r="Y17" s="86" t="e">
        <f t="shared" si="4"/>
        <v>#REF!</v>
      </c>
      <c r="Z17" s="86" t="e">
        <f t="shared" si="4"/>
        <v>#REF!</v>
      </c>
      <c r="AA17" s="86">
        <v>0</v>
      </c>
      <c r="AB17" s="86">
        <v>0</v>
      </c>
      <c r="AC17" s="86">
        <v>0</v>
      </c>
      <c r="AD17" s="86">
        <v>0</v>
      </c>
      <c r="AE17" s="86"/>
      <c r="AF17" s="86">
        <v>0</v>
      </c>
      <c r="AG17" s="86">
        <v>0</v>
      </c>
      <c r="AH17" s="86">
        <v>0</v>
      </c>
      <c r="AI17" s="86">
        <v>0</v>
      </c>
      <c r="AJ17" s="86">
        <v>0</v>
      </c>
      <c r="AK17" s="86">
        <v>0</v>
      </c>
      <c r="AL17" s="86">
        <v>0</v>
      </c>
      <c r="AM17" s="86">
        <v>0</v>
      </c>
      <c r="AN17" s="86">
        <v>0</v>
      </c>
      <c r="AO17" s="86">
        <v>0</v>
      </c>
      <c r="AP17" s="86" t="e">
        <f>ROUNDDOWN(($I$5-AP21)*$M$4,0)</f>
        <v>#REF!</v>
      </c>
      <c r="AQ17" s="86" t="e">
        <f t="shared" ref="AQ17:AT17" si="5">ROUNDDOWN(($I$5-AQ21)*$M$4,0)</f>
        <v>#REF!</v>
      </c>
      <c r="AR17" s="86" t="e">
        <f t="shared" si="5"/>
        <v>#REF!</v>
      </c>
      <c r="AS17" s="86" t="e">
        <f t="shared" si="5"/>
        <v>#REF!</v>
      </c>
      <c r="AT17" s="86" t="e">
        <f t="shared" si="5"/>
        <v>#REF!</v>
      </c>
      <c r="AU17" s="86" t="e">
        <f>ROUNDDOWN(($I$5-AU21)*$M$4,0)</f>
        <v>#REF!</v>
      </c>
      <c r="AV17" s="86" t="e">
        <f t="shared" ref="AV17" si="6">ROUNDDOWN(($I$5-AV21)*$M$4,0)</f>
        <v>#REF!</v>
      </c>
      <c r="AW17" s="86" t="e">
        <f>ROUNDDOWN(($I$5-AW21)*$M$4,0)</f>
        <v>#REF!</v>
      </c>
      <c r="AX17" s="86">
        <v>0</v>
      </c>
      <c r="AY17" s="86">
        <v>0</v>
      </c>
      <c r="AZ17" s="86">
        <v>0</v>
      </c>
      <c r="BA17" s="86">
        <v>0</v>
      </c>
      <c r="BB17" s="86">
        <v>0</v>
      </c>
      <c r="BC17" s="86">
        <v>0</v>
      </c>
      <c r="BD17" s="86">
        <v>0</v>
      </c>
      <c r="BE17" s="86">
        <v>0</v>
      </c>
      <c r="BF17" s="86">
        <v>0</v>
      </c>
    </row>
    <row r="18" spans="1:58">
      <c r="A18" s="72" t="s">
        <v>84</v>
      </c>
      <c r="B18" s="76" t="e">
        <f t="shared" si="1"/>
        <v>#VALUE!</v>
      </c>
      <c r="C18" s="76"/>
      <c r="D18" s="76"/>
      <c r="E18" s="76"/>
      <c r="F18" s="150" t="e">
        <f>SUM(G18:BF18)</f>
        <v>#VALUE!</v>
      </c>
      <c r="G18" s="86">
        <v>0</v>
      </c>
      <c r="H18" s="86">
        <v>0</v>
      </c>
      <c r="I18" s="86">
        <v>0</v>
      </c>
      <c r="J18" s="86">
        <v>0</v>
      </c>
      <c r="K18" s="86">
        <v>0</v>
      </c>
      <c r="L18" s="86">
        <v>0</v>
      </c>
      <c r="M18" s="86">
        <v>0</v>
      </c>
      <c r="N18" s="86">
        <v>0</v>
      </c>
      <c r="O18" s="86">
        <v>0</v>
      </c>
      <c r="P18" s="86">
        <v>0</v>
      </c>
      <c r="Q18" s="86">
        <v>0</v>
      </c>
      <c r="R18" s="86">
        <v>0</v>
      </c>
      <c r="S18" s="86" t="e">
        <f>ROUNDUP(1*$M$4,0)</f>
        <v>#VALUE!</v>
      </c>
      <c r="T18" s="86" t="e">
        <f t="shared" ref="T18:Z18" si="7">ROUNDUP(1*$M$4,0)</f>
        <v>#VALUE!</v>
      </c>
      <c r="U18" s="86" t="e">
        <f t="shared" si="7"/>
        <v>#VALUE!</v>
      </c>
      <c r="V18" s="86" t="e">
        <f t="shared" si="7"/>
        <v>#VALUE!</v>
      </c>
      <c r="W18" s="86" t="e">
        <f t="shared" si="7"/>
        <v>#VALUE!</v>
      </c>
      <c r="X18" s="86" t="e">
        <f t="shared" si="7"/>
        <v>#VALUE!</v>
      </c>
      <c r="Y18" s="86" t="e">
        <f t="shared" si="7"/>
        <v>#VALUE!</v>
      </c>
      <c r="Z18" s="86" t="e">
        <f t="shared" si="7"/>
        <v>#VALUE!</v>
      </c>
      <c r="AA18" s="86">
        <v>0</v>
      </c>
      <c r="AB18" s="86">
        <v>0</v>
      </c>
      <c r="AC18" s="86">
        <v>0</v>
      </c>
      <c r="AD18" s="86">
        <v>0</v>
      </c>
      <c r="AE18" s="86">
        <v>0</v>
      </c>
      <c r="AF18" s="86">
        <v>0</v>
      </c>
      <c r="AG18" s="86">
        <v>0</v>
      </c>
      <c r="AH18" s="86">
        <v>0</v>
      </c>
      <c r="AI18" s="86">
        <v>0</v>
      </c>
      <c r="AJ18" s="86">
        <v>0</v>
      </c>
      <c r="AK18" s="86">
        <v>0</v>
      </c>
      <c r="AL18" s="86">
        <v>0</v>
      </c>
      <c r="AM18" s="86">
        <v>0</v>
      </c>
      <c r="AN18" s="86">
        <v>0</v>
      </c>
      <c r="AO18" s="86">
        <v>0</v>
      </c>
      <c r="AP18" s="86" t="e">
        <f>ROUNDUP(1*$M$4,0)</f>
        <v>#VALUE!</v>
      </c>
      <c r="AQ18" s="86" t="e">
        <f t="shared" ref="AQ18:AW18" si="8">ROUNDUP(1*$M$4,0)</f>
        <v>#VALUE!</v>
      </c>
      <c r="AR18" s="86" t="e">
        <f t="shared" si="8"/>
        <v>#VALUE!</v>
      </c>
      <c r="AS18" s="86" t="e">
        <f t="shared" si="8"/>
        <v>#VALUE!</v>
      </c>
      <c r="AT18" s="86" t="e">
        <f t="shared" si="8"/>
        <v>#VALUE!</v>
      </c>
      <c r="AU18" s="86" t="e">
        <f t="shared" si="8"/>
        <v>#VALUE!</v>
      </c>
      <c r="AV18" s="86" t="e">
        <f t="shared" si="8"/>
        <v>#VALUE!</v>
      </c>
      <c r="AW18" s="86" t="e">
        <f t="shared" si="8"/>
        <v>#VALUE!</v>
      </c>
      <c r="AX18" s="86">
        <v>0</v>
      </c>
      <c r="AY18" s="86">
        <v>0</v>
      </c>
      <c r="AZ18" s="86">
        <v>0</v>
      </c>
      <c r="BA18" s="86">
        <v>0</v>
      </c>
      <c r="BB18" s="86">
        <v>0</v>
      </c>
      <c r="BC18" s="86">
        <v>0</v>
      </c>
      <c r="BD18" s="86">
        <v>0</v>
      </c>
      <c r="BE18" s="86">
        <v>0</v>
      </c>
      <c r="BF18" s="86">
        <v>0</v>
      </c>
    </row>
    <row r="19" spans="1:58">
      <c r="A19" s="72" t="s">
        <v>235</v>
      </c>
      <c r="B19" s="76"/>
      <c r="C19" s="76"/>
      <c r="D19" s="76"/>
      <c r="E19" s="76"/>
      <c r="F19" s="150"/>
      <c r="G19" s="86">
        <f t="shared" ref="G19:R19" si="9">ROUNDUP(G17*0.1,0)</f>
        <v>0</v>
      </c>
      <c r="H19" s="86">
        <f t="shared" si="9"/>
        <v>0</v>
      </c>
      <c r="I19" s="86">
        <f t="shared" si="9"/>
        <v>0</v>
      </c>
      <c r="J19" s="86">
        <f t="shared" si="9"/>
        <v>0</v>
      </c>
      <c r="K19" s="86">
        <f t="shared" si="9"/>
        <v>0</v>
      </c>
      <c r="L19" s="86">
        <f t="shared" si="9"/>
        <v>0</v>
      </c>
      <c r="M19" s="86">
        <f t="shared" si="9"/>
        <v>0</v>
      </c>
      <c r="N19" s="86">
        <f t="shared" si="9"/>
        <v>0</v>
      </c>
      <c r="O19" s="86">
        <f t="shared" si="9"/>
        <v>0</v>
      </c>
      <c r="P19" s="86">
        <f t="shared" si="9"/>
        <v>0</v>
      </c>
      <c r="Q19" s="86">
        <f t="shared" si="9"/>
        <v>0</v>
      </c>
      <c r="R19" s="86">
        <f t="shared" si="9"/>
        <v>0</v>
      </c>
      <c r="S19" s="86" t="e">
        <f>ROUNDUP(S17*0.1,0)</f>
        <v>#REF!</v>
      </c>
      <c r="T19" s="86" t="e">
        <f t="shared" ref="T19:BF19" si="10">ROUNDUP(T17*0.1,0)</f>
        <v>#REF!</v>
      </c>
      <c r="U19" s="86" t="e">
        <f t="shared" si="10"/>
        <v>#REF!</v>
      </c>
      <c r="V19" s="86" t="e">
        <f t="shared" si="10"/>
        <v>#REF!</v>
      </c>
      <c r="W19" s="86" t="e">
        <f t="shared" si="10"/>
        <v>#REF!</v>
      </c>
      <c r="X19" s="86" t="e">
        <f t="shared" si="10"/>
        <v>#REF!</v>
      </c>
      <c r="Y19" s="86" t="e">
        <f t="shared" si="10"/>
        <v>#REF!</v>
      </c>
      <c r="Z19" s="86" t="e">
        <f t="shared" si="10"/>
        <v>#REF!</v>
      </c>
      <c r="AA19" s="86">
        <f t="shared" si="10"/>
        <v>0</v>
      </c>
      <c r="AB19" s="86">
        <f t="shared" si="10"/>
        <v>0</v>
      </c>
      <c r="AC19" s="86">
        <f t="shared" si="10"/>
        <v>0</v>
      </c>
      <c r="AD19" s="86">
        <f t="shared" si="10"/>
        <v>0</v>
      </c>
      <c r="AE19" s="86">
        <f t="shared" si="10"/>
        <v>0</v>
      </c>
      <c r="AF19" s="86">
        <f t="shared" si="10"/>
        <v>0</v>
      </c>
      <c r="AG19" s="86">
        <f t="shared" si="10"/>
        <v>0</v>
      </c>
      <c r="AH19" s="86">
        <f t="shared" si="10"/>
        <v>0</v>
      </c>
      <c r="AI19" s="86">
        <f t="shared" si="10"/>
        <v>0</v>
      </c>
      <c r="AJ19" s="86">
        <f t="shared" si="10"/>
        <v>0</v>
      </c>
      <c r="AK19" s="86">
        <f t="shared" si="10"/>
        <v>0</v>
      </c>
      <c r="AL19" s="86">
        <f t="shared" si="10"/>
        <v>0</v>
      </c>
      <c r="AM19" s="86">
        <f t="shared" si="10"/>
        <v>0</v>
      </c>
      <c r="AN19" s="86">
        <f t="shared" si="10"/>
        <v>0</v>
      </c>
      <c r="AO19" s="86">
        <f t="shared" si="10"/>
        <v>0</v>
      </c>
      <c r="AP19" s="86" t="e">
        <f t="shared" si="10"/>
        <v>#REF!</v>
      </c>
      <c r="AQ19" s="86" t="e">
        <f t="shared" si="10"/>
        <v>#REF!</v>
      </c>
      <c r="AR19" s="86" t="e">
        <f t="shared" si="10"/>
        <v>#REF!</v>
      </c>
      <c r="AS19" s="86" t="e">
        <f t="shared" si="10"/>
        <v>#REF!</v>
      </c>
      <c r="AT19" s="86" t="e">
        <f t="shared" si="10"/>
        <v>#REF!</v>
      </c>
      <c r="AU19" s="86" t="e">
        <f t="shared" si="10"/>
        <v>#REF!</v>
      </c>
      <c r="AV19" s="86" t="e">
        <f t="shared" si="10"/>
        <v>#REF!</v>
      </c>
      <c r="AW19" s="86" t="e">
        <f t="shared" si="10"/>
        <v>#REF!</v>
      </c>
      <c r="AX19" s="86">
        <f t="shared" si="10"/>
        <v>0</v>
      </c>
      <c r="AY19" s="86">
        <f t="shared" si="10"/>
        <v>0</v>
      </c>
      <c r="AZ19" s="86">
        <f t="shared" si="10"/>
        <v>0</v>
      </c>
      <c r="BA19" s="86">
        <f t="shared" si="10"/>
        <v>0</v>
      </c>
      <c r="BB19" s="86">
        <f t="shared" si="10"/>
        <v>0</v>
      </c>
      <c r="BC19" s="86">
        <f t="shared" si="10"/>
        <v>0</v>
      </c>
      <c r="BD19" s="86">
        <f t="shared" si="10"/>
        <v>0</v>
      </c>
      <c r="BE19" s="86">
        <f t="shared" si="10"/>
        <v>0</v>
      </c>
      <c r="BF19" s="86">
        <f t="shared" si="10"/>
        <v>0</v>
      </c>
    </row>
    <row r="20" spans="1:58">
      <c r="A20" s="72" t="s">
        <v>87</v>
      </c>
      <c r="B20" s="76"/>
      <c r="C20" s="76"/>
      <c r="D20" s="76"/>
      <c r="E20" s="76"/>
      <c r="F20" s="76"/>
      <c r="G20" s="86">
        <f>SUM(G17:G18)</f>
        <v>0</v>
      </c>
      <c r="H20" s="86">
        <v>0</v>
      </c>
      <c r="I20" s="86">
        <v>0</v>
      </c>
      <c r="J20" s="86">
        <v>0</v>
      </c>
      <c r="K20" s="86">
        <v>0</v>
      </c>
      <c r="L20" s="86">
        <v>0</v>
      </c>
      <c r="M20" s="86">
        <v>0</v>
      </c>
      <c r="N20" s="86">
        <v>0</v>
      </c>
      <c r="O20" s="86">
        <v>0</v>
      </c>
      <c r="P20" s="86">
        <v>0</v>
      </c>
      <c r="Q20" s="86">
        <v>0</v>
      </c>
      <c r="R20" s="86">
        <v>0</v>
      </c>
      <c r="S20" s="86">
        <v>0</v>
      </c>
      <c r="T20" s="86">
        <v>0</v>
      </c>
      <c r="U20" s="86">
        <v>0</v>
      </c>
      <c r="V20" s="86">
        <v>0</v>
      </c>
      <c r="W20" s="86">
        <v>0</v>
      </c>
      <c r="X20" s="86">
        <v>0</v>
      </c>
      <c r="Y20" s="86">
        <v>0</v>
      </c>
      <c r="Z20" s="86">
        <v>0</v>
      </c>
      <c r="AA20" s="86">
        <v>0</v>
      </c>
      <c r="AB20" s="86">
        <v>0</v>
      </c>
      <c r="AC20" s="86">
        <v>0</v>
      </c>
      <c r="AD20" s="86">
        <v>0</v>
      </c>
      <c r="AE20" s="86">
        <v>0</v>
      </c>
      <c r="AF20" s="86">
        <v>0</v>
      </c>
      <c r="AG20" s="86">
        <v>0</v>
      </c>
      <c r="AH20" s="86">
        <v>0</v>
      </c>
      <c r="AI20" s="86">
        <v>0</v>
      </c>
      <c r="AJ20" s="86">
        <v>0</v>
      </c>
      <c r="AK20" s="86">
        <v>0</v>
      </c>
      <c r="AL20" s="86">
        <v>0</v>
      </c>
      <c r="AM20" s="86">
        <v>0</v>
      </c>
      <c r="AN20" s="86">
        <v>0</v>
      </c>
      <c r="AO20" s="86">
        <v>0</v>
      </c>
      <c r="AP20" s="86">
        <v>0</v>
      </c>
      <c r="AQ20" s="86">
        <v>0</v>
      </c>
      <c r="AR20" s="86">
        <v>0</v>
      </c>
      <c r="AS20" s="86">
        <v>0</v>
      </c>
      <c r="AT20" s="86">
        <v>0</v>
      </c>
      <c r="AU20" s="86">
        <v>0</v>
      </c>
      <c r="AV20" s="86">
        <v>0</v>
      </c>
      <c r="AW20" s="86">
        <v>0</v>
      </c>
      <c r="AX20" s="86">
        <v>0</v>
      </c>
      <c r="AY20" s="86">
        <v>0</v>
      </c>
      <c r="AZ20" s="86">
        <v>0</v>
      </c>
      <c r="BA20" s="86">
        <v>0</v>
      </c>
      <c r="BB20" s="86">
        <v>0</v>
      </c>
      <c r="BC20" s="86">
        <v>0</v>
      </c>
      <c r="BD20" s="86">
        <v>0</v>
      </c>
      <c r="BE20" s="86">
        <v>0</v>
      </c>
      <c r="BF20" s="86">
        <v>0</v>
      </c>
    </row>
    <row r="21" spans="1:58">
      <c r="A21" s="141" t="s">
        <v>194</v>
      </c>
      <c r="B21" s="142"/>
      <c r="C21" s="142"/>
      <c r="D21" s="142"/>
      <c r="E21" s="142"/>
      <c r="F21" s="142"/>
      <c r="G21" s="86">
        <f>SUM(G11:G15)</f>
        <v>67</v>
      </c>
      <c r="H21" s="86">
        <f t="shared" ref="H21:BF21" si="11">SUM(H11:H15)</f>
        <v>67</v>
      </c>
      <c r="I21" s="86">
        <f t="shared" si="11"/>
        <v>67</v>
      </c>
      <c r="J21" s="86">
        <f t="shared" si="11"/>
        <v>67</v>
      </c>
      <c r="K21" s="86">
        <f t="shared" si="11"/>
        <v>67</v>
      </c>
      <c r="L21" s="86">
        <f t="shared" si="11"/>
        <v>67</v>
      </c>
      <c r="M21" s="86">
        <f t="shared" si="11"/>
        <v>67</v>
      </c>
      <c r="N21" s="86">
        <f t="shared" si="11"/>
        <v>67</v>
      </c>
      <c r="O21" s="86">
        <f t="shared" si="11"/>
        <v>67</v>
      </c>
      <c r="P21" s="86">
        <f t="shared" si="11"/>
        <v>67</v>
      </c>
      <c r="Q21" s="86">
        <f t="shared" si="11"/>
        <v>67</v>
      </c>
      <c r="R21" s="86">
        <f t="shared" si="11"/>
        <v>55</v>
      </c>
      <c r="S21" s="86">
        <f t="shared" si="11"/>
        <v>4</v>
      </c>
      <c r="T21" s="86">
        <f t="shared" si="11"/>
        <v>4</v>
      </c>
      <c r="U21" s="86">
        <f t="shared" si="11"/>
        <v>4</v>
      </c>
      <c r="V21" s="86">
        <f t="shared" si="11"/>
        <v>4</v>
      </c>
      <c r="W21" s="86">
        <f t="shared" si="11"/>
        <v>4</v>
      </c>
      <c r="X21" s="86">
        <f t="shared" si="11"/>
        <v>4</v>
      </c>
      <c r="Y21" s="86">
        <f t="shared" si="11"/>
        <v>4</v>
      </c>
      <c r="Z21" s="86">
        <f t="shared" si="11"/>
        <v>4</v>
      </c>
      <c r="AA21" s="86">
        <f t="shared" si="11"/>
        <v>59</v>
      </c>
      <c r="AB21" s="86">
        <f t="shared" si="11"/>
        <v>4</v>
      </c>
      <c r="AC21" s="86">
        <f t="shared" si="11"/>
        <v>4</v>
      </c>
      <c r="AD21" s="86">
        <f t="shared" si="11"/>
        <v>67</v>
      </c>
      <c r="AE21" s="86">
        <f t="shared" si="11"/>
        <v>67</v>
      </c>
      <c r="AF21" s="86">
        <f t="shared" si="11"/>
        <v>67</v>
      </c>
      <c r="AG21" s="86">
        <f t="shared" si="11"/>
        <v>67</v>
      </c>
      <c r="AH21" s="86">
        <f t="shared" si="11"/>
        <v>67</v>
      </c>
      <c r="AI21" s="86">
        <f t="shared" si="11"/>
        <v>67</v>
      </c>
      <c r="AJ21" s="86">
        <f t="shared" si="11"/>
        <v>67</v>
      </c>
      <c r="AK21" s="86">
        <f t="shared" si="11"/>
        <v>67</v>
      </c>
      <c r="AL21" s="86">
        <f t="shared" si="11"/>
        <v>67</v>
      </c>
      <c r="AM21" s="86">
        <f t="shared" si="11"/>
        <v>67</v>
      </c>
      <c r="AN21" s="86">
        <f t="shared" si="11"/>
        <v>67</v>
      </c>
      <c r="AO21" s="86">
        <f t="shared" si="11"/>
        <v>55</v>
      </c>
      <c r="AP21" s="86">
        <f t="shared" si="11"/>
        <v>4</v>
      </c>
      <c r="AQ21" s="86">
        <f t="shared" si="11"/>
        <v>4</v>
      </c>
      <c r="AR21" s="86">
        <f t="shared" si="11"/>
        <v>4</v>
      </c>
      <c r="AS21" s="86">
        <f t="shared" si="11"/>
        <v>4</v>
      </c>
      <c r="AT21" s="86">
        <f t="shared" si="11"/>
        <v>4</v>
      </c>
      <c r="AU21" s="86">
        <f t="shared" si="11"/>
        <v>0</v>
      </c>
      <c r="AV21" s="86">
        <f t="shared" si="11"/>
        <v>0</v>
      </c>
      <c r="AW21" s="86">
        <f t="shared" si="11"/>
        <v>0</v>
      </c>
      <c r="AX21" s="86">
        <f>SUM(AX11:AX15)</f>
        <v>59</v>
      </c>
      <c r="AY21" s="86">
        <f t="shared" si="11"/>
        <v>67</v>
      </c>
      <c r="AZ21" s="86">
        <f t="shared" si="11"/>
        <v>0</v>
      </c>
      <c r="BA21" s="86">
        <f t="shared" si="11"/>
        <v>0</v>
      </c>
      <c r="BB21" s="86">
        <f t="shared" si="11"/>
        <v>0</v>
      </c>
      <c r="BC21" s="86">
        <f t="shared" si="11"/>
        <v>0</v>
      </c>
      <c r="BD21" s="86">
        <f t="shared" si="11"/>
        <v>0</v>
      </c>
      <c r="BE21" s="86">
        <f t="shared" si="11"/>
        <v>0</v>
      </c>
      <c r="BF21" s="86">
        <f t="shared" si="11"/>
        <v>0</v>
      </c>
    </row>
    <row r="22" spans="1:58">
      <c r="A22" s="141" t="s">
        <v>193</v>
      </c>
      <c r="B22" s="142"/>
      <c r="C22" s="142"/>
      <c r="D22" s="142"/>
      <c r="E22" s="142"/>
      <c r="F22" s="142"/>
      <c r="G22" s="86">
        <f>SUM(G11:G15,G17:G20)</f>
        <v>67</v>
      </c>
      <c r="H22" s="86">
        <f t="shared" ref="H22:BF22" si="12">SUM(H11:H15,H17:H20)</f>
        <v>67</v>
      </c>
      <c r="I22" s="86">
        <f t="shared" si="12"/>
        <v>67</v>
      </c>
      <c r="J22" s="86">
        <f t="shared" si="12"/>
        <v>67</v>
      </c>
      <c r="K22" s="86">
        <f t="shared" si="12"/>
        <v>67</v>
      </c>
      <c r="L22" s="86">
        <f t="shared" si="12"/>
        <v>67</v>
      </c>
      <c r="M22" s="86">
        <f t="shared" si="12"/>
        <v>67</v>
      </c>
      <c r="N22" s="86">
        <f t="shared" si="12"/>
        <v>67</v>
      </c>
      <c r="O22" s="86">
        <f t="shared" si="12"/>
        <v>67</v>
      </c>
      <c r="P22" s="86">
        <f t="shared" si="12"/>
        <v>67</v>
      </c>
      <c r="Q22" s="86">
        <f t="shared" si="12"/>
        <v>67</v>
      </c>
      <c r="R22" s="86">
        <f t="shared" si="12"/>
        <v>55</v>
      </c>
      <c r="S22" s="86" t="e">
        <f>SUM(S11:S15,S17:S20)</f>
        <v>#REF!</v>
      </c>
      <c r="T22" s="86" t="e">
        <f t="shared" si="12"/>
        <v>#REF!</v>
      </c>
      <c r="U22" s="86" t="e">
        <f t="shared" si="12"/>
        <v>#REF!</v>
      </c>
      <c r="V22" s="86" t="e">
        <f t="shared" si="12"/>
        <v>#REF!</v>
      </c>
      <c r="W22" s="86" t="e">
        <f t="shared" si="12"/>
        <v>#REF!</v>
      </c>
      <c r="X22" s="86" t="e">
        <f t="shared" si="12"/>
        <v>#REF!</v>
      </c>
      <c r="Y22" s="86" t="e">
        <f t="shared" si="12"/>
        <v>#REF!</v>
      </c>
      <c r="Z22" s="86" t="e">
        <f t="shared" si="12"/>
        <v>#REF!</v>
      </c>
      <c r="AA22" s="86">
        <f t="shared" si="12"/>
        <v>59</v>
      </c>
      <c r="AB22" s="86">
        <f t="shared" si="12"/>
        <v>4</v>
      </c>
      <c r="AC22" s="86">
        <f t="shared" si="12"/>
        <v>4</v>
      </c>
      <c r="AD22" s="86">
        <f t="shared" si="12"/>
        <v>67</v>
      </c>
      <c r="AE22" s="86">
        <f t="shared" si="12"/>
        <v>67</v>
      </c>
      <c r="AF22" s="86">
        <f t="shared" si="12"/>
        <v>67</v>
      </c>
      <c r="AG22" s="86">
        <f t="shared" si="12"/>
        <v>67</v>
      </c>
      <c r="AH22" s="86">
        <f t="shared" si="12"/>
        <v>67</v>
      </c>
      <c r="AI22" s="86">
        <f t="shared" si="12"/>
        <v>67</v>
      </c>
      <c r="AJ22" s="86">
        <f t="shared" si="12"/>
        <v>67</v>
      </c>
      <c r="AK22" s="86">
        <f t="shared" si="12"/>
        <v>67</v>
      </c>
      <c r="AL22" s="86">
        <f t="shared" si="12"/>
        <v>67</v>
      </c>
      <c r="AM22" s="86">
        <f t="shared" si="12"/>
        <v>67</v>
      </c>
      <c r="AN22" s="86">
        <f t="shared" si="12"/>
        <v>67</v>
      </c>
      <c r="AO22" s="86">
        <f t="shared" si="12"/>
        <v>55</v>
      </c>
      <c r="AP22" s="86" t="e">
        <f t="shared" si="12"/>
        <v>#REF!</v>
      </c>
      <c r="AQ22" s="86" t="e">
        <f t="shared" si="12"/>
        <v>#REF!</v>
      </c>
      <c r="AR22" s="86" t="e">
        <f t="shared" si="12"/>
        <v>#REF!</v>
      </c>
      <c r="AS22" s="86" t="e">
        <f t="shared" si="12"/>
        <v>#REF!</v>
      </c>
      <c r="AT22" s="86" t="e">
        <f t="shared" si="12"/>
        <v>#REF!</v>
      </c>
      <c r="AU22" s="86" t="e">
        <f t="shared" si="12"/>
        <v>#REF!</v>
      </c>
      <c r="AV22" s="86" t="e">
        <f t="shared" si="12"/>
        <v>#REF!</v>
      </c>
      <c r="AW22" s="86" t="e">
        <f t="shared" si="12"/>
        <v>#REF!</v>
      </c>
      <c r="AX22" s="86">
        <f t="shared" si="12"/>
        <v>59</v>
      </c>
      <c r="AY22" s="86">
        <f t="shared" si="12"/>
        <v>67</v>
      </c>
      <c r="AZ22" s="86">
        <f t="shared" si="12"/>
        <v>0</v>
      </c>
      <c r="BA22" s="86">
        <f t="shared" si="12"/>
        <v>0</v>
      </c>
      <c r="BB22" s="86">
        <f t="shared" si="12"/>
        <v>0</v>
      </c>
      <c r="BC22" s="86">
        <f t="shared" si="12"/>
        <v>0</v>
      </c>
      <c r="BD22" s="86">
        <f t="shared" si="12"/>
        <v>0</v>
      </c>
      <c r="BE22" s="86">
        <f t="shared" si="12"/>
        <v>0</v>
      </c>
      <c r="BF22" s="86">
        <f t="shared" si="12"/>
        <v>0</v>
      </c>
    </row>
    <row r="23" spans="1:58" s="81" customFormat="1">
      <c r="A23" s="48" t="s">
        <v>86</v>
      </c>
      <c r="B23" s="48"/>
      <c r="C23" s="48"/>
      <c r="D23" s="48"/>
      <c r="E23" s="48"/>
      <c r="F23" s="84"/>
      <c r="G23" s="87" t="e">
        <f>SUM(G11:G19)</f>
        <v>#REF!</v>
      </c>
      <c r="H23" s="87" t="e">
        <f t="shared" ref="H23:BF23" si="13">SUM(H11:H19)</f>
        <v>#REF!</v>
      </c>
      <c r="I23" s="87" t="e">
        <f t="shared" si="13"/>
        <v>#REF!</v>
      </c>
      <c r="J23" s="87" t="e">
        <f t="shared" si="13"/>
        <v>#REF!</v>
      </c>
      <c r="K23" s="87" t="e">
        <f t="shared" si="13"/>
        <v>#REF!</v>
      </c>
      <c r="L23" s="87" t="e">
        <f t="shared" si="13"/>
        <v>#REF!</v>
      </c>
      <c r="M23" s="87" t="e">
        <f t="shared" si="13"/>
        <v>#REF!</v>
      </c>
      <c r="N23" s="87" t="e">
        <f t="shared" si="13"/>
        <v>#REF!</v>
      </c>
      <c r="O23" s="87" t="e">
        <f t="shared" si="13"/>
        <v>#REF!</v>
      </c>
      <c r="P23" s="87" t="e">
        <f t="shared" si="13"/>
        <v>#REF!</v>
      </c>
      <c r="Q23" s="87" t="e">
        <f t="shared" si="13"/>
        <v>#REF!</v>
      </c>
      <c r="R23" s="87" t="e">
        <f t="shared" si="13"/>
        <v>#REF!</v>
      </c>
      <c r="S23" s="87" t="e">
        <f t="shared" si="13"/>
        <v>#REF!</v>
      </c>
      <c r="T23" s="87" t="e">
        <f t="shared" si="13"/>
        <v>#REF!</v>
      </c>
      <c r="U23" s="87" t="e">
        <f t="shared" si="13"/>
        <v>#REF!</v>
      </c>
      <c r="V23" s="87" t="e">
        <f t="shared" si="13"/>
        <v>#REF!</v>
      </c>
      <c r="W23" s="87" t="e">
        <f t="shared" si="13"/>
        <v>#REF!</v>
      </c>
      <c r="X23" s="87" t="e">
        <f t="shared" si="13"/>
        <v>#REF!</v>
      </c>
      <c r="Y23" s="87" t="e">
        <f t="shared" si="13"/>
        <v>#REF!</v>
      </c>
      <c r="Z23" s="87" t="e">
        <f t="shared" si="13"/>
        <v>#REF!</v>
      </c>
      <c r="AA23" s="87" t="e">
        <f t="shared" si="13"/>
        <v>#REF!</v>
      </c>
      <c r="AB23" s="87" t="e">
        <f t="shared" si="13"/>
        <v>#REF!</v>
      </c>
      <c r="AC23" s="87" t="e">
        <f t="shared" si="13"/>
        <v>#REF!</v>
      </c>
      <c r="AD23" s="87" t="e">
        <f t="shared" si="13"/>
        <v>#REF!</v>
      </c>
      <c r="AE23" s="87" t="e">
        <f t="shared" si="13"/>
        <v>#REF!</v>
      </c>
      <c r="AF23" s="87" t="e">
        <f t="shared" si="13"/>
        <v>#REF!</v>
      </c>
      <c r="AG23" s="87" t="e">
        <f t="shared" si="13"/>
        <v>#REF!</v>
      </c>
      <c r="AH23" s="87" t="e">
        <f t="shared" si="13"/>
        <v>#REF!</v>
      </c>
      <c r="AI23" s="87" t="e">
        <f t="shared" si="13"/>
        <v>#REF!</v>
      </c>
      <c r="AJ23" s="87" t="e">
        <f t="shared" si="13"/>
        <v>#REF!</v>
      </c>
      <c r="AK23" s="87" t="e">
        <f t="shared" si="13"/>
        <v>#REF!</v>
      </c>
      <c r="AL23" s="87" t="e">
        <f t="shared" si="13"/>
        <v>#REF!</v>
      </c>
      <c r="AM23" s="87" t="e">
        <f t="shared" si="13"/>
        <v>#REF!</v>
      </c>
      <c r="AN23" s="87" t="e">
        <f t="shared" si="13"/>
        <v>#REF!</v>
      </c>
      <c r="AO23" s="87" t="e">
        <f t="shared" si="13"/>
        <v>#REF!</v>
      </c>
      <c r="AP23" s="87" t="e">
        <f t="shared" si="13"/>
        <v>#REF!</v>
      </c>
      <c r="AQ23" s="87" t="e">
        <f t="shared" si="13"/>
        <v>#REF!</v>
      </c>
      <c r="AR23" s="87" t="e">
        <f t="shared" si="13"/>
        <v>#REF!</v>
      </c>
      <c r="AS23" s="87" t="e">
        <f t="shared" si="13"/>
        <v>#REF!</v>
      </c>
      <c r="AT23" s="87" t="e">
        <f t="shared" si="13"/>
        <v>#REF!</v>
      </c>
      <c r="AU23" s="87" t="e">
        <f t="shared" si="13"/>
        <v>#REF!</v>
      </c>
      <c r="AV23" s="87" t="e">
        <f t="shared" si="13"/>
        <v>#REF!</v>
      </c>
      <c r="AW23" s="87" t="e">
        <f t="shared" si="13"/>
        <v>#REF!</v>
      </c>
      <c r="AX23" s="87" t="e">
        <f t="shared" si="13"/>
        <v>#REF!</v>
      </c>
      <c r="AY23" s="87" t="e">
        <f t="shared" si="13"/>
        <v>#REF!</v>
      </c>
      <c r="AZ23" s="87" t="e">
        <f t="shared" si="13"/>
        <v>#REF!</v>
      </c>
      <c r="BA23" s="87" t="e">
        <f t="shared" si="13"/>
        <v>#REF!</v>
      </c>
      <c r="BB23" s="87" t="e">
        <f t="shared" si="13"/>
        <v>#REF!</v>
      </c>
      <c r="BC23" s="87" t="e">
        <f t="shared" si="13"/>
        <v>#REF!</v>
      </c>
      <c r="BD23" s="87" t="e">
        <f t="shared" si="13"/>
        <v>#REF!</v>
      </c>
      <c r="BE23" s="87" t="e">
        <f t="shared" si="13"/>
        <v>#REF!</v>
      </c>
      <c r="BF23" s="87" t="e">
        <f t="shared" si="13"/>
        <v>#REF!</v>
      </c>
    </row>
    <row r="24" spans="1:58">
      <c r="A24" t="s">
        <v>232</v>
      </c>
      <c r="B24"/>
      <c r="C24"/>
      <c r="D24"/>
      <c r="E24"/>
      <c r="F24" s="54" t="e">
        <f>SUM(G24:BF24)</f>
        <v>#REF!</v>
      </c>
      <c r="G24" s="27">
        <f>IF(AND(G11&gt;0,H17&gt;0),MIN(H17,G11)*#REF!,0)</f>
        <v>0</v>
      </c>
      <c r="H24" s="27">
        <f>IF(AND(H11&gt;0,I17&gt;0),I17*#REF!,0)</f>
        <v>0</v>
      </c>
      <c r="I24" s="27">
        <f>IF(AND(I11&gt;0,J17&gt;0),J17*#REF!,0)</f>
        <v>0</v>
      </c>
      <c r="J24" s="27">
        <f>IF(AND(J11&gt;0,K17&gt;0),K17*#REF!,0)</f>
        <v>0</v>
      </c>
      <c r="K24" s="27">
        <f>IF(AND(K11&gt;0,L17&gt;0),L17*#REF!,0)</f>
        <v>0</v>
      </c>
      <c r="L24" s="27">
        <f>IF(AND(L11&gt;0,M17&gt;0),M17*#REF!,0)</f>
        <v>0</v>
      </c>
      <c r="M24" s="27">
        <f>IF(AND(M11&gt;0,N17&gt;0),N17*#REF!,0)</f>
        <v>0</v>
      </c>
      <c r="N24" s="27">
        <f>IF(AND(N11&gt;0,O17&gt;0),O17*#REF!,0)</f>
        <v>0</v>
      </c>
      <c r="O24" s="27">
        <f>IF(AND(O11&gt;0,P17&gt;0),P17*#REF!,0)</f>
        <v>0</v>
      </c>
      <c r="P24" s="27">
        <f>IF(AND(P11&gt;0,Q17&gt;0),Q17*#REF!,0)</f>
        <v>0</v>
      </c>
      <c r="Q24" s="27">
        <f>IF(AND(Q11&gt;0,R17&gt;0),R17*#REF!,0)</f>
        <v>0</v>
      </c>
      <c r="R24" s="27" t="e">
        <f>IF(AND(R11&gt;0,S17&gt;0),S17*#REF!,0)</f>
        <v>#REF!</v>
      </c>
      <c r="S24" s="27" t="e">
        <f>IF(AND(S11&gt;0,T17&gt;0),T17*#REF!,0)</f>
        <v>#REF!</v>
      </c>
      <c r="T24" s="27" t="e">
        <f>IF(AND(T11&gt;0,U17&gt;0),U17*#REF!,0)</f>
        <v>#REF!</v>
      </c>
      <c r="U24" s="27" t="e">
        <f>IF(AND(U11&gt;0,V17&gt;0),V17*#REF!,0)</f>
        <v>#REF!</v>
      </c>
      <c r="V24" s="27" t="e">
        <f>IF(AND(V11&gt;0,W17&gt;0),W17*#REF!,0)</f>
        <v>#REF!</v>
      </c>
      <c r="W24" s="27" t="e">
        <f>IF(AND(W11&gt;0,X17&gt;0),X17*#REF!,0)</f>
        <v>#REF!</v>
      </c>
      <c r="X24" s="27" t="e">
        <f>IF(AND(X11&gt;0,Y17&gt;0),Y17*#REF!,0)</f>
        <v>#REF!</v>
      </c>
      <c r="Y24" s="27" t="e">
        <f>IF(AND(Y11&gt;0,Z17&gt;0),Z17*#REF!,0)</f>
        <v>#REF!</v>
      </c>
      <c r="Z24" s="27">
        <f>IF(AND(Z11&gt;0,AA17&gt;0),AA17*#REF!,0)</f>
        <v>0</v>
      </c>
      <c r="AA24" s="27">
        <f>IF(AND(AA11&gt;0,AB17&gt;0),AB17*#REF!,0)</f>
        <v>0</v>
      </c>
      <c r="AB24" s="27">
        <f>IF(AND(AB11&gt;0,AC17&gt;0),AC17*#REF!,0)</f>
        <v>0</v>
      </c>
      <c r="AC24" s="27">
        <f>IF(AND(AC11&gt;0,AD17&gt;0),AD17*#REF!,0)</f>
        <v>0</v>
      </c>
      <c r="AD24" s="27">
        <f>IF(AND(AD11&gt;0,AE17&gt;0),AE17*#REF!,0)</f>
        <v>0</v>
      </c>
      <c r="AE24" s="27">
        <f>IF(AND(AE11&gt;0,AF17&gt;0),AF17*#REF!,0)</f>
        <v>0</v>
      </c>
      <c r="AF24" s="27">
        <f>IF(AND(AF11&gt;0,AG17&gt;0),AG17*#REF!,0)</f>
        <v>0</v>
      </c>
      <c r="AG24" s="27">
        <f>IF(AND(AG11&gt;0,AH17&gt;0),AH17*#REF!,0)</f>
        <v>0</v>
      </c>
      <c r="AH24" s="27">
        <f>IF(AND(AH11&gt;0,AI17&gt;0),AI17*#REF!,0)</f>
        <v>0</v>
      </c>
      <c r="AI24" s="27">
        <f>IF(AND(AI11&gt;0,AJ17&gt;0),AJ17*#REF!,0)</f>
        <v>0</v>
      </c>
      <c r="AJ24" s="27">
        <f>IF(AND(AJ11&gt;0,AK17&gt;0),AK17*#REF!,0)</f>
        <v>0</v>
      </c>
      <c r="AK24" s="27">
        <f>IF(AND(AK11&gt;0,AL17&gt;0),AL17*#REF!,0)</f>
        <v>0</v>
      </c>
      <c r="AL24" s="27">
        <f>IF(AND(AL11&gt;0,AM17&gt;0),AM17*#REF!,0)</f>
        <v>0</v>
      </c>
      <c r="AM24" s="27">
        <f>IF(AND(AM11&gt;0,AN17&gt;0),AN17*#REF!,0)</f>
        <v>0</v>
      </c>
      <c r="AN24" s="27">
        <f>IF(AND(AN11&gt;0,AO17&gt;0),AO17*#REF!,0)</f>
        <v>0</v>
      </c>
      <c r="AO24" s="27" t="e">
        <f>IF(AND(AO11&gt;0,AP17&gt;0),AP17*#REF!,0)</f>
        <v>#REF!</v>
      </c>
      <c r="AP24" s="27" t="e">
        <f>IF(AND(AP11&gt;0,AQ17&gt;0),AQ17*#REF!,0)</f>
        <v>#REF!</v>
      </c>
      <c r="AQ24" s="27" t="e">
        <f>IF(AND(AQ11&gt;0,AR17&gt;0),AR17*#REF!,0)</f>
        <v>#REF!</v>
      </c>
      <c r="AR24" s="27" t="e">
        <f>IF(AND(AR11&gt;0,AS17&gt;0),AS17*#REF!,0)</f>
        <v>#REF!</v>
      </c>
      <c r="AS24" s="27" t="e">
        <f>IF(AND(AS11&gt;0,AT17&gt;0),AT17*#REF!,0)</f>
        <v>#REF!</v>
      </c>
      <c r="AT24" s="27" t="e">
        <f>IF(AND(AT11&gt;0,AU17&gt;0),AU17*#REF!,0)</f>
        <v>#REF!</v>
      </c>
      <c r="AU24" s="27" t="e">
        <f>IF(AND(AU11&gt;0,AV17&gt;0),AV17*#REF!,0)</f>
        <v>#REF!</v>
      </c>
      <c r="AV24" s="27" t="e">
        <f>IF(AND(AV11&gt;0,AW17&gt;0),AW17*#REF!,0)</f>
        <v>#REF!</v>
      </c>
      <c r="AW24" s="27">
        <f>IF(AND(AW11&gt;0,AX17&gt;0),AX17*#REF!,0)</f>
        <v>0</v>
      </c>
      <c r="AX24" s="27">
        <f>IF(AND(AX11&gt;0,AY17&gt;0),AY17*#REF!,0)</f>
        <v>0</v>
      </c>
      <c r="AY24" s="27">
        <f>IF(AND(AY11&gt;0,AZ17&gt;0),AZ17*#REF!,0)</f>
        <v>0</v>
      </c>
      <c r="AZ24" s="27">
        <f>IF(AND(AZ11&gt;0,BA17&gt;0),BA17*#REF!,0)</f>
        <v>0</v>
      </c>
      <c r="BA24" s="27">
        <f>IF(AND(BA11&gt;0,BB17&gt;0),BB17*#REF!,0)</f>
        <v>0</v>
      </c>
      <c r="BB24" s="27">
        <f>IF(AND(BB11&gt;0,BC17&gt;0),BC17*#REF!,0)</f>
        <v>0</v>
      </c>
      <c r="BC24" s="27">
        <f>IF(AND(BC11&gt;0,BD17&gt;0),BD17*#REF!,0)</f>
        <v>0</v>
      </c>
      <c r="BD24" s="27">
        <f>IF(AND(BD11&gt;0,BE17&gt;0),BE17*#REF!,0)</f>
        <v>0</v>
      </c>
      <c r="BE24" s="27">
        <f>IF(AND(BE11&gt;0,BF17&gt;0),BF17*#REF!,0)</f>
        <v>0</v>
      </c>
      <c r="BF24" s="27">
        <f>IF(AND(BF11&gt;0,BG17&gt;0),BG17*#REF!,0)</f>
        <v>0</v>
      </c>
    </row>
    <row r="25" spans="1:58">
      <c r="A25" t="s">
        <v>233</v>
      </c>
      <c r="B25"/>
      <c r="C25"/>
      <c r="D25"/>
      <c r="E25"/>
      <c r="F25" s="54" t="e">
        <f>SUM(G25:BF25)</f>
        <v>#VALUE!</v>
      </c>
      <c r="G25" s="27">
        <f>IF(AND(G12&gt;0,H18&gt;0),MIN(H18,G12)*#REF!,0)</f>
        <v>0</v>
      </c>
      <c r="H25" s="27">
        <f>IF(AND(H12&gt;0,I18&gt;0),MIN(I18,H12)*#REF!,0)</f>
        <v>0</v>
      </c>
      <c r="I25" s="27">
        <f>IF(AND(I12&gt;0,J18&gt;0),MIN(J18,I12)*#REF!,0)</f>
        <v>0</v>
      </c>
      <c r="J25" s="27">
        <f>IF(AND(J12&gt;0,K18&gt;0),MIN(K18,J12)*#REF!,0)</f>
        <v>0</v>
      </c>
      <c r="K25" s="27">
        <f>IF(AND(K12&gt;0,L18&gt;0),MIN(L18,K12)*#REF!,0)</f>
        <v>0</v>
      </c>
      <c r="L25" s="27">
        <f>IF(AND(L12&gt;0,M18&gt;0),MIN(M18,L12)*#REF!,0)</f>
        <v>0</v>
      </c>
      <c r="M25" s="27">
        <f>IF(AND(M12&gt;0,N18&gt;0),MIN(N18,M12)*#REF!,0)</f>
        <v>0</v>
      </c>
      <c r="N25" s="27">
        <f>IF(AND(N12&gt;0,O18&gt;0),MIN(O18,N12)*#REF!,0)</f>
        <v>0</v>
      </c>
      <c r="O25" s="27">
        <f>IF(AND(O12&gt;0,P18&gt;0),MIN(P18,O12)*#REF!,0)</f>
        <v>0</v>
      </c>
      <c r="P25" s="27">
        <f>IF(AND(P12&gt;0,Q18&gt;0),MIN(Q18,P12)*#REF!,0)</f>
        <v>0</v>
      </c>
      <c r="Q25" s="27">
        <f>IF(AND(Q12&gt;0,R18&gt;0),MIN(R18,Q12)*#REF!,0)</f>
        <v>0</v>
      </c>
      <c r="R25" s="27" t="e">
        <f>IF(AND(R12&gt;0,S18&gt;0),MIN(S18,R12)*#REF!,0)</f>
        <v>#VALUE!</v>
      </c>
      <c r="S25" s="27" t="e">
        <f>IF(AND(S12&gt;0,T18&gt;0),MIN(T18,S12)*#REF!,0)</f>
        <v>#VALUE!</v>
      </c>
      <c r="T25" s="27" t="e">
        <f>IF(AND(T12&gt;0,U18&gt;0),MIN(U18,T12)*#REF!,0)</f>
        <v>#VALUE!</v>
      </c>
      <c r="U25" s="27" t="e">
        <f>IF(AND(U12&gt;0,V18&gt;0),MIN(V18,U12)*#REF!,0)</f>
        <v>#VALUE!</v>
      </c>
      <c r="V25" s="27" t="e">
        <f>IF(AND(V12&gt;0,W18&gt;0),MIN(W18,V12)*#REF!,0)</f>
        <v>#VALUE!</v>
      </c>
      <c r="W25" s="27" t="e">
        <f>IF(AND(W12&gt;0,X18&gt;0),MIN(X18,W12)*#REF!,0)</f>
        <v>#VALUE!</v>
      </c>
      <c r="X25" s="27" t="e">
        <f>IF(AND(X12&gt;0,Y18&gt;0),MIN(Y18,X12)*#REF!,0)</f>
        <v>#VALUE!</v>
      </c>
      <c r="Y25" s="27" t="e">
        <f>IF(AND(Y12&gt;0,Z18&gt;0),MIN(Z18,Y12)*#REF!,0)</f>
        <v>#VALUE!</v>
      </c>
      <c r="Z25" s="27">
        <f>IF(AND(Z12&gt;0,AA18&gt;0),MIN(AA18,Z12)*#REF!,0)</f>
        <v>0</v>
      </c>
      <c r="AA25" s="27">
        <f>IF(AND(AA12&gt;0,AB18&gt;0),MIN(AB18,AA12)*#REF!,0)</f>
        <v>0</v>
      </c>
      <c r="AB25" s="27">
        <f>IF(AND(AB12&gt;0,AC18&gt;0),MIN(AC18,AB12)*#REF!,0)</f>
        <v>0</v>
      </c>
      <c r="AC25" s="27">
        <f>IF(AND(AC12&gt;0,AD18&gt;0),MIN(AD18,AC12)*#REF!,0)</f>
        <v>0</v>
      </c>
      <c r="AD25" s="27">
        <f>IF(AND(AD12&gt;0,AE18&gt;0),MIN(AE18,AD12)*#REF!,0)</f>
        <v>0</v>
      </c>
      <c r="AE25" s="27">
        <f>IF(AND(AE12&gt;0,AF18&gt;0),MIN(AF18,AE12)*#REF!,0)</f>
        <v>0</v>
      </c>
      <c r="AF25" s="27">
        <f>IF(AND(AF12&gt;0,AG18&gt;0),MIN(AG18,AF12)*#REF!,0)</f>
        <v>0</v>
      </c>
      <c r="AG25" s="27">
        <f>IF(AND(AG12&gt;0,AH18&gt;0),MIN(AH18,AG12)*#REF!,0)</f>
        <v>0</v>
      </c>
      <c r="AH25" s="27">
        <f>IF(AND(AH12&gt;0,AI18&gt;0),MIN(AI18,AH12)*#REF!,0)</f>
        <v>0</v>
      </c>
      <c r="AI25" s="27">
        <f>IF(AND(AI12&gt;0,AJ18&gt;0),MIN(AJ18,AI12)*#REF!,0)</f>
        <v>0</v>
      </c>
      <c r="AJ25" s="27">
        <f>IF(AND(AJ12&gt;0,AK18&gt;0),MIN(AK18,AJ12)*#REF!,0)</f>
        <v>0</v>
      </c>
      <c r="AK25" s="27">
        <f>IF(AND(AK12&gt;0,AL18&gt;0),MIN(AL18,AK12)*#REF!,0)</f>
        <v>0</v>
      </c>
      <c r="AL25" s="27">
        <f>IF(AND(AL12&gt;0,AM18&gt;0),MIN(AM18,AL12)*#REF!,0)</f>
        <v>0</v>
      </c>
      <c r="AM25" s="27">
        <f>IF(AND(AM12&gt;0,AN18&gt;0),MIN(AN18,AM12)*#REF!,0)</f>
        <v>0</v>
      </c>
      <c r="AN25" s="27">
        <f>IF(AND(AN12&gt;0,AO18&gt;0),MIN(AO18,AN12)*#REF!,0)</f>
        <v>0</v>
      </c>
      <c r="AO25" s="27" t="e">
        <f>IF(AND(AO12&gt;0,AP18&gt;0),MIN(AP18,AO12)*#REF!,0)</f>
        <v>#VALUE!</v>
      </c>
      <c r="AP25" s="27" t="e">
        <f>IF(AND(AP12&gt;0,AQ18&gt;0),MIN(AQ18,AP12)*#REF!,0)</f>
        <v>#VALUE!</v>
      </c>
      <c r="AQ25" s="27" t="e">
        <f>IF(AND(AQ12&gt;0,AR18&gt;0),MIN(AR18,AQ12)*#REF!,0)</f>
        <v>#VALUE!</v>
      </c>
      <c r="AR25" s="27" t="e">
        <f>IF(AND(AR12&gt;0,AS18&gt;0),MIN(AS18,AR12)*#REF!,0)</f>
        <v>#VALUE!</v>
      </c>
      <c r="AS25" s="27" t="e">
        <f>IF(AND(AS12&gt;0,AT18&gt;0),MIN(AT18,AS12)*#REF!,0)</f>
        <v>#VALUE!</v>
      </c>
      <c r="AT25" s="27" t="e">
        <f>IF(AND(AT12&gt;0,AU18&gt;0),MIN(AU18,AT12)*#REF!,0)</f>
        <v>#VALUE!</v>
      </c>
      <c r="AU25" s="27" t="e">
        <f>IF(AND(AU12&gt;0,AV18&gt;0),MIN(AV18,AU12)*#REF!,0)</f>
        <v>#VALUE!</v>
      </c>
      <c r="AV25" s="27" t="e">
        <f>IF(AND(AV12&gt;0,AW18&gt;0),MIN(AW18,AV12)*#REF!,0)</f>
        <v>#VALUE!</v>
      </c>
      <c r="AW25" s="27">
        <f>IF(AND(AW12&gt;0,AX18&gt;0),MIN(AX18,AW12)*#REF!,0)</f>
        <v>0</v>
      </c>
      <c r="AX25" s="27">
        <f>IF(AND(AX12&gt;0,AY18&gt;0),MIN(AY18,AX12)*#REF!,0)</f>
        <v>0</v>
      </c>
      <c r="AY25" s="27">
        <f>IF(AND(AY12&gt;0,AZ18&gt;0),MIN(AZ18,AY12)*#REF!,0)</f>
        <v>0</v>
      </c>
      <c r="AZ25" s="27">
        <f>IF(AND(AZ12&gt;0,BA18&gt;0),MIN(BA18,AZ12)*#REF!,0)</f>
        <v>0</v>
      </c>
      <c r="BA25" s="27">
        <f>IF(AND(BA12&gt;0,BB18&gt;0),MIN(BB18,BA12)*#REF!,0)</f>
        <v>0</v>
      </c>
      <c r="BB25" s="27">
        <f>IF(AND(BB12&gt;0,BC18&gt;0),MIN(BC18,BB12)*#REF!,0)</f>
        <v>0</v>
      </c>
      <c r="BC25" s="27">
        <f>IF(AND(BC12&gt;0,BD18&gt;0),MIN(BD18,BC12)*#REF!,0)</f>
        <v>0</v>
      </c>
      <c r="BD25" s="27">
        <f>IF(AND(BD12&gt;0,BE18&gt;0),MIN(BE18,BD12)*#REF!,0)</f>
        <v>0</v>
      </c>
      <c r="BE25" s="27">
        <f>IF(AND(BE12&gt;0,BF18&gt;0),MIN(BF18,BE12)*#REF!,0)</f>
        <v>0</v>
      </c>
      <c r="BF25" s="27">
        <f>IF(AND(BF12&gt;0,BG18&gt;0),MIN(BG18,BF12)*#REF!,0)</f>
        <v>0</v>
      </c>
    </row>
    <row r="26" spans="1:58">
      <c r="A26"/>
      <c r="B26"/>
      <c r="C26"/>
      <c r="D26"/>
      <c r="E26"/>
      <c r="F26"/>
      <c r="G26" s="88"/>
      <c r="H26" s="88"/>
      <c r="I26" s="88"/>
      <c r="J26" s="88"/>
      <c r="K26" s="88"/>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88"/>
      <c r="BD26" s="88"/>
      <c r="BE26" s="88"/>
      <c r="BF26" s="88"/>
    </row>
  </sheetData>
  <conditionalFormatting sqref="G11:R12 AC11:AD12 AU11:BF12">
    <cfRule type="cellIs" dxfId="78" priority="38" operator="greaterThan">
      <formula>0</formula>
    </cfRule>
  </conditionalFormatting>
  <conditionalFormatting sqref="G20:BA20 AX18:BF18 G18:AD18 G19:BF19">
    <cfRule type="cellIs" dxfId="77" priority="32" operator="greaterThan">
      <formula>0</formula>
    </cfRule>
  </conditionalFormatting>
  <conditionalFormatting sqref="G13:R13 AC13:AD13 AU13:BF13">
    <cfRule type="cellIs" dxfId="76" priority="31" operator="greaterThan">
      <formula>0</formula>
    </cfRule>
  </conditionalFormatting>
  <conditionalFormatting sqref="G14:R14 AC14:AD14 AU14:BF14">
    <cfRule type="cellIs" dxfId="75" priority="30" operator="greaterThan">
      <formula>0</formula>
    </cfRule>
  </conditionalFormatting>
  <conditionalFormatting sqref="BB20:BF20 G15:AD16 AU15:BF16">
    <cfRule type="cellIs" dxfId="74" priority="29" operator="greaterThan">
      <formula>0</formula>
    </cfRule>
  </conditionalFormatting>
  <conditionalFormatting sqref="AX17:BF18 G17:AD18 G19:BF19">
    <cfRule type="cellIs" dxfId="73" priority="28" operator="greaterThan">
      <formula>0</formula>
    </cfRule>
  </conditionalFormatting>
  <conditionalFormatting sqref="G16:AD16 AU16:BF16">
    <cfRule type="cellIs" dxfId="72" priority="24" operator="greaterThan">
      <formula>0</formula>
    </cfRule>
  </conditionalFormatting>
  <conditionalFormatting sqref="S11:W12">
    <cfRule type="cellIs" dxfId="71" priority="23" operator="greaterThan">
      <formula>0</formula>
    </cfRule>
  </conditionalFormatting>
  <conditionalFormatting sqref="S13:W13">
    <cfRule type="cellIs" dxfId="70" priority="22" operator="greaterThan">
      <formula>0</formula>
    </cfRule>
  </conditionalFormatting>
  <conditionalFormatting sqref="S14:W14">
    <cfRule type="cellIs" dxfId="69" priority="21" operator="greaterThan">
      <formula>0</formula>
    </cfRule>
  </conditionalFormatting>
  <conditionalFormatting sqref="X11:AB12">
    <cfRule type="cellIs" dxfId="68" priority="20" operator="greaterThan">
      <formula>0</formula>
    </cfRule>
  </conditionalFormatting>
  <conditionalFormatting sqref="X13:AB13">
    <cfRule type="cellIs" dxfId="67" priority="19" operator="greaterThan">
      <formula>0</formula>
    </cfRule>
  </conditionalFormatting>
  <conditionalFormatting sqref="X14:AB14">
    <cfRule type="cellIs" dxfId="66" priority="18" operator="greaterThan">
      <formula>0</formula>
    </cfRule>
  </conditionalFormatting>
  <conditionalFormatting sqref="AE11:AN12">
    <cfRule type="cellIs" dxfId="65" priority="17" operator="greaterThan">
      <formula>0</formula>
    </cfRule>
  </conditionalFormatting>
  <conditionalFormatting sqref="AE18:AN18">
    <cfRule type="cellIs" dxfId="64" priority="16" operator="greaterThan">
      <formula>0</formula>
    </cfRule>
  </conditionalFormatting>
  <conditionalFormatting sqref="AE13:AN13">
    <cfRule type="cellIs" dxfId="63" priority="15" operator="greaterThan">
      <formula>0</formula>
    </cfRule>
  </conditionalFormatting>
  <conditionalFormatting sqref="AE14:AN14">
    <cfRule type="cellIs" dxfId="62" priority="14" operator="greaterThan">
      <formula>0</formula>
    </cfRule>
  </conditionalFormatting>
  <conditionalFormatting sqref="AE15:AN16">
    <cfRule type="cellIs" dxfId="61" priority="13" operator="greaterThan">
      <formula>0</formula>
    </cfRule>
  </conditionalFormatting>
  <conditionalFormatting sqref="AE17:AN18">
    <cfRule type="cellIs" dxfId="60" priority="12" operator="greaterThan">
      <formula>0</formula>
    </cfRule>
  </conditionalFormatting>
  <conditionalFormatting sqref="AE16:AN16">
    <cfRule type="cellIs" dxfId="59" priority="11" operator="greaterThan">
      <formula>0</formula>
    </cfRule>
  </conditionalFormatting>
  <conditionalFormatting sqref="AO11:AO12">
    <cfRule type="cellIs" dxfId="58" priority="10" operator="greaterThan">
      <formula>0</formula>
    </cfRule>
  </conditionalFormatting>
  <conditionalFormatting sqref="AO18:AW18">
    <cfRule type="cellIs" dxfId="57" priority="9" operator="greaterThan">
      <formula>0</formula>
    </cfRule>
  </conditionalFormatting>
  <conditionalFormatting sqref="AO13">
    <cfRule type="cellIs" dxfId="56" priority="8" operator="greaterThan">
      <formula>0</formula>
    </cfRule>
  </conditionalFormatting>
  <conditionalFormatting sqref="AO14">
    <cfRule type="cellIs" dxfId="55" priority="7" operator="greaterThan">
      <formula>0</formula>
    </cfRule>
  </conditionalFormatting>
  <conditionalFormatting sqref="AO15:AT16">
    <cfRule type="cellIs" dxfId="54" priority="6" operator="greaterThan">
      <formula>0</formula>
    </cfRule>
  </conditionalFormatting>
  <conditionalFormatting sqref="AO17:AW18">
    <cfRule type="cellIs" dxfId="53" priority="5" operator="greaterThan">
      <formula>0</formula>
    </cfRule>
  </conditionalFormatting>
  <conditionalFormatting sqref="AO16:AT16">
    <cfRule type="cellIs" dxfId="52" priority="4" operator="greaterThan">
      <formula>0</formula>
    </cfRule>
  </conditionalFormatting>
  <conditionalFormatting sqref="AP11:AT12">
    <cfRule type="cellIs" dxfId="51" priority="3" operator="greaterThan">
      <formula>0</formula>
    </cfRule>
  </conditionalFormatting>
  <conditionalFormatting sqref="AP13:AT13">
    <cfRule type="cellIs" dxfId="50" priority="2" operator="greaterThan">
      <formula>0</formula>
    </cfRule>
  </conditionalFormatting>
  <conditionalFormatting sqref="AP14:AT14">
    <cfRule type="cellIs" dxfId="49"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1CC26-19F5-4435-99EC-2D10D244C2D6}">
  <sheetPr codeName="Sheet9">
    <tabColor rgb="FF002060"/>
  </sheetPr>
  <dimension ref="A1:U46"/>
  <sheetViews>
    <sheetView workbookViewId="0">
      <selection activeCell="B13" sqref="B13"/>
    </sheetView>
  </sheetViews>
  <sheetFormatPr defaultRowHeight="15"/>
  <cols>
    <col min="1" max="1" width="20.28515625" style="3" customWidth="1"/>
    <col min="2" max="2" width="17.5703125" style="3" customWidth="1"/>
    <col min="3" max="3" width="17.140625" style="3" customWidth="1"/>
    <col min="4" max="4" width="15.42578125" style="3" customWidth="1"/>
    <col min="5" max="5" width="16.42578125" style="3" bestFit="1" customWidth="1"/>
    <col min="6" max="6" width="16.42578125" style="3" customWidth="1"/>
    <col min="7" max="7" width="24.85546875" style="3" bestFit="1" customWidth="1"/>
    <col min="8" max="8" width="22" style="3" bestFit="1" customWidth="1"/>
    <col min="9" max="9" width="14.85546875" style="3" customWidth="1"/>
    <col min="10" max="10" width="14.5703125" style="3" bestFit="1" customWidth="1"/>
    <col min="11" max="11" width="15" style="3" bestFit="1" customWidth="1"/>
    <col min="12" max="12" width="11.140625" style="3" bestFit="1" customWidth="1"/>
    <col min="13" max="13" width="12.140625" style="3" bestFit="1" customWidth="1"/>
    <col min="14" max="14" width="13.85546875" style="3" bestFit="1" customWidth="1"/>
    <col min="15" max="15" width="16.7109375" style="3" bestFit="1" customWidth="1"/>
    <col min="16" max="16" width="13.42578125" style="3" bestFit="1" customWidth="1"/>
    <col min="17" max="17" width="8.7109375" style="3"/>
    <col min="18" max="18" width="11.28515625" style="3" bestFit="1" customWidth="1"/>
    <col min="19" max="19" width="11.5703125" style="3" bestFit="1" customWidth="1"/>
    <col min="20" max="259" width="8.7109375" style="3"/>
    <col min="260" max="260" width="37.5703125" style="3" customWidth="1"/>
    <col min="261" max="261" width="12.5703125" style="3" customWidth="1"/>
    <col min="262" max="270" width="13.42578125" style="3" customWidth="1"/>
    <col min="271" max="515" width="8.7109375" style="3"/>
    <col min="516" max="516" width="37.5703125" style="3" customWidth="1"/>
    <col min="517" max="517" width="12.5703125" style="3" customWidth="1"/>
    <col min="518" max="526" width="13.42578125" style="3" customWidth="1"/>
    <col min="527" max="771" width="8.7109375" style="3"/>
    <col min="772" max="772" width="37.5703125" style="3" customWidth="1"/>
    <col min="773" max="773" width="12.5703125" style="3" customWidth="1"/>
    <col min="774" max="782" width="13.42578125" style="3" customWidth="1"/>
    <col min="783" max="1027" width="8.7109375" style="3"/>
    <col min="1028" max="1028" width="37.5703125" style="3" customWidth="1"/>
    <col min="1029" max="1029" width="12.5703125" style="3" customWidth="1"/>
    <col min="1030" max="1038" width="13.42578125" style="3" customWidth="1"/>
    <col min="1039" max="1283" width="8.7109375" style="3"/>
    <col min="1284" max="1284" width="37.5703125" style="3" customWidth="1"/>
    <col min="1285" max="1285" width="12.5703125" style="3" customWidth="1"/>
    <col min="1286" max="1294" width="13.42578125" style="3" customWidth="1"/>
    <col min="1295" max="1539" width="8.7109375" style="3"/>
    <col min="1540" max="1540" width="37.5703125" style="3" customWidth="1"/>
    <col min="1541" max="1541" width="12.5703125" style="3" customWidth="1"/>
    <col min="1542" max="1550" width="13.42578125" style="3" customWidth="1"/>
    <col min="1551" max="1795" width="8.7109375" style="3"/>
    <col min="1796" max="1796" width="37.5703125" style="3" customWidth="1"/>
    <col min="1797" max="1797" width="12.5703125" style="3" customWidth="1"/>
    <col min="1798" max="1806" width="13.42578125" style="3" customWidth="1"/>
    <col min="1807" max="2051" width="8.7109375" style="3"/>
    <col min="2052" max="2052" width="37.5703125" style="3" customWidth="1"/>
    <col min="2053" max="2053" width="12.5703125" style="3" customWidth="1"/>
    <col min="2054" max="2062" width="13.42578125" style="3" customWidth="1"/>
    <col min="2063" max="2307" width="8.7109375" style="3"/>
    <col min="2308" max="2308" width="37.5703125" style="3" customWidth="1"/>
    <col min="2309" max="2309" width="12.5703125" style="3" customWidth="1"/>
    <col min="2310" max="2318" width="13.42578125" style="3" customWidth="1"/>
    <col min="2319" max="2563" width="8.7109375" style="3"/>
    <col min="2564" max="2564" width="37.5703125" style="3" customWidth="1"/>
    <col min="2565" max="2565" width="12.5703125" style="3" customWidth="1"/>
    <col min="2566" max="2574" width="13.42578125" style="3" customWidth="1"/>
    <col min="2575" max="2819" width="8.7109375" style="3"/>
    <col min="2820" max="2820" width="37.5703125" style="3" customWidth="1"/>
    <col min="2821" max="2821" width="12.5703125" style="3" customWidth="1"/>
    <col min="2822" max="2830" width="13.42578125" style="3" customWidth="1"/>
    <col min="2831" max="3075" width="8.7109375" style="3"/>
    <col min="3076" max="3076" width="37.5703125" style="3" customWidth="1"/>
    <col min="3077" max="3077" width="12.5703125" style="3" customWidth="1"/>
    <col min="3078" max="3086" width="13.42578125" style="3" customWidth="1"/>
    <col min="3087" max="3331" width="8.7109375" style="3"/>
    <col min="3332" max="3332" width="37.5703125" style="3" customWidth="1"/>
    <col min="3333" max="3333" width="12.5703125" style="3" customWidth="1"/>
    <col min="3334" max="3342" width="13.42578125" style="3" customWidth="1"/>
    <col min="3343" max="3587" width="8.7109375" style="3"/>
    <col min="3588" max="3588" width="37.5703125" style="3" customWidth="1"/>
    <col min="3589" max="3589" width="12.5703125" style="3" customWidth="1"/>
    <col min="3590" max="3598" width="13.42578125" style="3" customWidth="1"/>
    <col min="3599" max="3843" width="8.7109375" style="3"/>
    <col min="3844" max="3844" width="37.5703125" style="3" customWidth="1"/>
    <col min="3845" max="3845" width="12.5703125" style="3" customWidth="1"/>
    <col min="3846" max="3854" width="13.42578125" style="3" customWidth="1"/>
    <col min="3855" max="4099" width="8.7109375" style="3"/>
    <col min="4100" max="4100" width="37.5703125" style="3" customWidth="1"/>
    <col min="4101" max="4101" width="12.5703125" style="3" customWidth="1"/>
    <col min="4102" max="4110" width="13.42578125" style="3" customWidth="1"/>
    <col min="4111" max="4355" width="8.7109375" style="3"/>
    <col min="4356" max="4356" width="37.5703125" style="3" customWidth="1"/>
    <col min="4357" max="4357" width="12.5703125" style="3" customWidth="1"/>
    <col min="4358" max="4366" width="13.42578125" style="3" customWidth="1"/>
    <col min="4367" max="4611" width="8.7109375" style="3"/>
    <col min="4612" max="4612" width="37.5703125" style="3" customWidth="1"/>
    <col min="4613" max="4613" width="12.5703125" style="3" customWidth="1"/>
    <col min="4614" max="4622" width="13.42578125" style="3" customWidth="1"/>
    <col min="4623" max="4867" width="8.7109375" style="3"/>
    <col min="4868" max="4868" width="37.5703125" style="3" customWidth="1"/>
    <col min="4869" max="4869" width="12.5703125" style="3" customWidth="1"/>
    <col min="4870" max="4878" width="13.42578125" style="3" customWidth="1"/>
    <col min="4879" max="5123" width="8.7109375" style="3"/>
    <col min="5124" max="5124" width="37.5703125" style="3" customWidth="1"/>
    <col min="5125" max="5125" width="12.5703125" style="3" customWidth="1"/>
    <col min="5126" max="5134" width="13.42578125" style="3" customWidth="1"/>
    <col min="5135" max="5379" width="8.7109375" style="3"/>
    <col min="5380" max="5380" width="37.5703125" style="3" customWidth="1"/>
    <col min="5381" max="5381" width="12.5703125" style="3" customWidth="1"/>
    <col min="5382" max="5390" width="13.42578125" style="3" customWidth="1"/>
    <col min="5391" max="5635" width="8.7109375" style="3"/>
    <col min="5636" max="5636" width="37.5703125" style="3" customWidth="1"/>
    <col min="5637" max="5637" width="12.5703125" style="3" customWidth="1"/>
    <col min="5638" max="5646" width="13.42578125" style="3" customWidth="1"/>
    <col min="5647" max="5891" width="8.7109375" style="3"/>
    <col min="5892" max="5892" width="37.5703125" style="3" customWidth="1"/>
    <col min="5893" max="5893" width="12.5703125" style="3" customWidth="1"/>
    <col min="5894" max="5902" width="13.42578125" style="3" customWidth="1"/>
    <col min="5903" max="6147" width="8.7109375" style="3"/>
    <col min="6148" max="6148" width="37.5703125" style="3" customWidth="1"/>
    <col min="6149" max="6149" width="12.5703125" style="3" customWidth="1"/>
    <col min="6150" max="6158" width="13.42578125" style="3" customWidth="1"/>
    <col min="6159" max="6403" width="8.7109375" style="3"/>
    <col min="6404" max="6404" width="37.5703125" style="3" customWidth="1"/>
    <col min="6405" max="6405" width="12.5703125" style="3" customWidth="1"/>
    <col min="6406" max="6414" width="13.42578125" style="3" customWidth="1"/>
    <col min="6415" max="6659" width="8.7109375" style="3"/>
    <col min="6660" max="6660" width="37.5703125" style="3" customWidth="1"/>
    <col min="6661" max="6661" width="12.5703125" style="3" customWidth="1"/>
    <col min="6662" max="6670" width="13.42578125" style="3" customWidth="1"/>
    <col min="6671" max="6915" width="8.7109375" style="3"/>
    <col min="6916" max="6916" width="37.5703125" style="3" customWidth="1"/>
    <col min="6917" max="6917" width="12.5703125" style="3" customWidth="1"/>
    <col min="6918" max="6926" width="13.42578125" style="3" customWidth="1"/>
    <col min="6927" max="7171" width="8.7109375" style="3"/>
    <col min="7172" max="7172" width="37.5703125" style="3" customWidth="1"/>
    <col min="7173" max="7173" width="12.5703125" style="3" customWidth="1"/>
    <col min="7174" max="7182" width="13.42578125" style="3" customWidth="1"/>
    <col min="7183" max="7427" width="8.7109375" style="3"/>
    <col min="7428" max="7428" width="37.5703125" style="3" customWidth="1"/>
    <col min="7429" max="7429" width="12.5703125" style="3" customWidth="1"/>
    <col min="7430" max="7438" width="13.42578125" style="3" customWidth="1"/>
    <col min="7439" max="7683" width="8.7109375" style="3"/>
    <col min="7684" max="7684" width="37.5703125" style="3" customWidth="1"/>
    <col min="7685" max="7685" width="12.5703125" style="3" customWidth="1"/>
    <col min="7686" max="7694" width="13.42578125" style="3" customWidth="1"/>
    <col min="7695" max="7939" width="8.7109375" style="3"/>
    <col min="7940" max="7940" width="37.5703125" style="3" customWidth="1"/>
    <col min="7941" max="7941" width="12.5703125" style="3" customWidth="1"/>
    <col min="7942" max="7950" width="13.42578125" style="3" customWidth="1"/>
    <col min="7951" max="8195" width="8.7109375" style="3"/>
    <col min="8196" max="8196" width="37.5703125" style="3" customWidth="1"/>
    <col min="8197" max="8197" width="12.5703125" style="3" customWidth="1"/>
    <col min="8198" max="8206" width="13.42578125" style="3" customWidth="1"/>
    <col min="8207" max="8451" width="8.7109375" style="3"/>
    <col min="8452" max="8452" width="37.5703125" style="3" customWidth="1"/>
    <col min="8453" max="8453" width="12.5703125" style="3" customWidth="1"/>
    <col min="8454" max="8462" width="13.42578125" style="3" customWidth="1"/>
    <col min="8463" max="8707" width="8.7109375" style="3"/>
    <col min="8708" max="8708" width="37.5703125" style="3" customWidth="1"/>
    <col min="8709" max="8709" width="12.5703125" style="3" customWidth="1"/>
    <col min="8710" max="8718" width="13.42578125" style="3" customWidth="1"/>
    <col min="8719" max="8963" width="8.7109375" style="3"/>
    <col min="8964" max="8964" width="37.5703125" style="3" customWidth="1"/>
    <col min="8965" max="8965" width="12.5703125" style="3" customWidth="1"/>
    <col min="8966" max="8974" width="13.42578125" style="3" customWidth="1"/>
    <col min="8975" max="9219" width="8.7109375" style="3"/>
    <col min="9220" max="9220" width="37.5703125" style="3" customWidth="1"/>
    <col min="9221" max="9221" width="12.5703125" style="3" customWidth="1"/>
    <col min="9222" max="9230" width="13.42578125" style="3" customWidth="1"/>
    <col min="9231" max="9475" width="8.7109375" style="3"/>
    <col min="9476" max="9476" width="37.5703125" style="3" customWidth="1"/>
    <col min="9477" max="9477" width="12.5703125" style="3" customWidth="1"/>
    <col min="9478" max="9486" width="13.42578125" style="3" customWidth="1"/>
    <col min="9487" max="9731" width="8.7109375" style="3"/>
    <col min="9732" max="9732" width="37.5703125" style="3" customWidth="1"/>
    <col min="9733" max="9733" width="12.5703125" style="3" customWidth="1"/>
    <col min="9734" max="9742" width="13.42578125" style="3" customWidth="1"/>
    <col min="9743" max="9987" width="8.7109375" style="3"/>
    <col min="9988" max="9988" width="37.5703125" style="3" customWidth="1"/>
    <col min="9989" max="9989" width="12.5703125" style="3" customWidth="1"/>
    <col min="9990" max="9998" width="13.42578125" style="3" customWidth="1"/>
    <col min="9999" max="10243" width="8.7109375" style="3"/>
    <col min="10244" max="10244" width="37.5703125" style="3" customWidth="1"/>
    <col min="10245" max="10245" width="12.5703125" style="3" customWidth="1"/>
    <col min="10246" max="10254" width="13.42578125" style="3" customWidth="1"/>
    <col min="10255" max="10499" width="8.7109375" style="3"/>
    <col min="10500" max="10500" width="37.5703125" style="3" customWidth="1"/>
    <col min="10501" max="10501" width="12.5703125" style="3" customWidth="1"/>
    <col min="10502" max="10510" width="13.42578125" style="3" customWidth="1"/>
    <col min="10511" max="10755" width="8.7109375" style="3"/>
    <col min="10756" max="10756" width="37.5703125" style="3" customWidth="1"/>
    <col min="10757" max="10757" width="12.5703125" style="3" customWidth="1"/>
    <col min="10758" max="10766" width="13.42578125" style="3" customWidth="1"/>
    <col min="10767" max="11011" width="8.7109375" style="3"/>
    <col min="11012" max="11012" width="37.5703125" style="3" customWidth="1"/>
    <col min="11013" max="11013" width="12.5703125" style="3" customWidth="1"/>
    <col min="11014" max="11022" width="13.42578125" style="3" customWidth="1"/>
    <col min="11023" max="11267" width="8.7109375" style="3"/>
    <col min="11268" max="11268" width="37.5703125" style="3" customWidth="1"/>
    <col min="11269" max="11269" width="12.5703125" style="3" customWidth="1"/>
    <col min="11270" max="11278" width="13.42578125" style="3" customWidth="1"/>
    <col min="11279" max="11523" width="8.7109375" style="3"/>
    <col min="11524" max="11524" width="37.5703125" style="3" customWidth="1"/>
    <col min="11525" max="11525" width="12.5703125" style="3" customWidth="1"/>
    <col min="11526" max="11534" width="13.42578125" style="3" customWidth="1"/>
    <col min="11535" max="11779" width="8.7109375" style="3"/>
    <col min="11780" max="11780" width="37.5703125" style="3" customWidth="1"/>
    <col min="11781" max="11781" width="12.5703125" style="3" customWidth="1"/>
    <col min="11782" max="11790" width="13.42578125" style="3" customWidth="1"/>
    <col min="11791" max="12035" width="8.7109375" style="3"/>
    <col min="12036" max="12036" width="37.5703125" style="3" customWidth="1"/>
    <col min="12037" max="12037" width="12.5703125" style="3" customWidth="1"/>
    <col min="12038" max="12046" width="13.42578125" style="3" customWidth="1"/>
    <col min="12047" max="12291" width="8.7109375" style="3"/>
    <col min="12292" max="12292" width="37.5703125" style="3" customWidth="1"/>
    <col min="12293" max="12293" width="12.5703125" style="3" customWidth="1"/>
    <col min="12294" max="12302" width="13.42578125" style="3" customWidth="1"/>
    <col min="12303" max="12547" width="8.7109375" style="3"/>
    <col min="12548" max="12548" width="37.5703125" style="3" customWidth="1"/>
    <col min="12549" max="12549" width="12.5703125" style="3" customWidth="1"/>
    <col min="12550" max="12558" width="13.42578125" style="3" customWidth="1"/>
    <col min="12559" max="12803" width="8.7109375" style="3"/>
    <col min="12804" max="12804" width="37.5703125" style="3" customWidth="1"/>
    <col min="12805" max="12805" width="12.5703125" style="3" customWidth="1"/>
    <col min="12806" max="12814" width="13.42578125" style="3" customWidth="1"/>
    <col min="12815" max="13059" width="8.7109375" style="3"/>
    <col min="13060" max="13060" width="37.5703125" style="3" customWidth="1"/>
    <col min="13061" max="13061" width="12.5703125" style="3" customWidth="1"/>
    <col min="13062" max="13070" width="13.42578125" style="3" customWidth="1"/>
    <col min="13071" max="13315" width="8.7109375" style="3"/>
    <col min="13316" max="13316" width="37.5703125" style="3" customWidth="1"/>
    <col min="13317" max="13317" width="12.5703125" style="3" customWidth="1"/>
    <col min="13318" max="13326" width="13.42578125" style="3" customWidth="1"/>
    <col min="13327" max="13571" width="8.7109375" style="3"/>
    <col min="13572" max="13572" width="37.5703125" style="3" customWidth="1"/>
    <col min="13573" max="13573" width="12.5703125" style="3" customWidth="1"/>
    <col min="13574" max="13582" width="13.42578125" style="3" customWidth="1"/>
    <col min="13583" max="13827" width="8.7109375" style="3"/>
    <col min="13828" max="13828" width="37.5703125" style="3" customWidth="1"/>
    <col min="13829" max="13829" width="12.5703125" style="3" customWidth="1"/>
    <col min="13830" max="13838" width="13.42578125" style="3" customWidth="1"/>
    <col min="13839" max="14083" width="8.7109375" style="3"/>
    <col min="14084" max="14084" width="37.5703125" style="3" customWidth="1"/>
    <col min="14085" max="14085" width="12.5703125" style="3" customWidth="1"/>
    <col min="14086" max="14094" width="13.42578125" style="3" customWidth="1"/>
    <col min="14095" max="14339" width="8.7109375" style="3"/>
    <col min="14340" max="14340" width="37.5703125" style="3" customWidth="1"/>
    <col min="14341" max="14341" width="12.5703125" style="3" customWidth="1"/>
    <col min="14342" max="14350" width="13.42578125" style="3" customWidth="1"/>
    <col min="14351" max="14595" width="8.7109375" style="3"/>
    <col min="14596" max="14596" width="37.5703125" style="3" customWidth="1"/>
    <col min="14597" max="14597" width="12.5703125" style="3" customWidth="1"/>
    <col min="14598" max="14606" width="13.42578125" style="3" customWidth="1"/>
    <col min="14607" max="14851" width="8.7109375" style="3"/>
    <col min="14852" max="14852" width="37.5703125" style="3" customWidth="1"/>
    <col min="14853" max="14853" width="12.5703125" style="3" customWidth="1"/>
    <col min="14854" max="14862" width="13.42578125" style="3" customWidth="1"/>
    <col min="14863" max="15107" width="8.7109375" style="3"/>
    <col min="15108" max="15108" width="37.5703125" style="3" customWidth="1"/>
    <col min="15109" max="15109" width="12.5703125" style="3" customWidth="1"/>
    <col min="15110" max="15118" width="13.42578125" style="3" customWidth="1"/>
    <col min="15119" max="15363" width="8.7109375" style="3"/>
    <col min="15364" max="15364" width="37.5703125" style="3" customWidth="1"/>
    <col min="15365" max="15365" width="12.5703125" style="3" customWidth="1"/>
    <col min="15366" max="15374" width="13.42578125" style="3" customWidth="1"/>
    <col min="15375" max="15619" width="8.7109375" style="3"/>
    <col min="15620" max="15620" width="37.5703125" style="3" customWidth="1"/>
    <col min="15621" max="15621" width="12.5703125" style="3" customWidth="1"/>
    <col min="15622" max="15630" width="13.42578125" style="3" customWidth="1"/>
    <col min="15631" max="15875" width="8.7109375" style="3"/>
    <col min="15876" max="15876" width="37.5703125" style="3" customWidth="1"/>
    <col min="15877" max="15877" width="12.5703125" style="3" customWidth="1"/>
    <col min="15878" max="15886" width="13.42578125" style="3" customWidth="1"/>
    <col min="15887" max="16131" width="8.7109375" style="3"/>
    <col min="16132" max="16132" width="37.5703125" style="3" customWidth="1"/>
    <col min="16133" max="16133" width="12.5703125" style="3" customWidth="1"/>
    <col min="16134" max="16142" width="13.42578125" style="3" customWidth="1"/>
    <col min="16143" max="16384" width="8.7109375" style="3"/>
  </cols>
  <sheetData>
    <row r="1" spans="1:21" ht="32.25">
      <c r="A1" s="1" t="s">
        <v>617</v>
      </c>
      <c r="B1" s="2"/>
      <c r="C1" s="2"/>
      <c r="D1" s="2"/>
      <c r="E1" s="2"/>
      <c r="F1" s="2"/>
      <c r="G1" s="2"/>
      <c r="H1" s="2"/>
      <c r="I1" s="2"/>
      <c r="J1" s="2"/>
      <c r="K1" s="2"/>
      <c r="L1" s="2"/>
      <c r="M1" s="2"/>
      <c r="N1" s="1"/>
      <c r="O1" s="1"/>
      <c r="P1" s="2"/>
      <c r="Q1" s="2"/>
      <c r="R1" s="2"/>
      <c r="S1" s="2"/>
      <c r="T1" s="2"/>
    </row>
    <row r="2" spans="1:21" s="13" customFormat="1" ht="21.6" customHeight="1">
      <c r="A2" s="4" t="s">
        <v>429</v>
      </c>
      <c r="B2" s="4"/>
      <c r="C2" s="4"/>
      <c r="D2" s="4"/>
      <c r="E2" s="4"/>
      <c r="F2" s="4"/>
      <c r="G2" s="4"/>
      <c r="H2" s="4"/>
      <c r="I2" s="4"/>
      <c r="J2" s="4"/>
      <c r="K2" s="4"/>
      <c r="L2" s="4"/>
      <c r="M2" s="4"/>
      <c r="N2" s="4"/>
      <c r="O2" s="4"/>
      <c r="P2" s="4"/>
      <c r="Q2" s="4"/>
      <c r="R2" s="4"/>
      <c r="S2" s="4"/>
      <c r="T2" s="4"/>
      <c r="U2" s="3"/>
    </row>
    <row r="3" spans="1:21" s="13" customFormat="1">
      <c r="R3" s="3"/>
      <c r="S3" s="3"/>
      <c r="T3" s="3"/>
      <c r="U3" s="3"/>
    </row>
    <row r="29" spans="1:9">
      <c r="B29" s="363"/>
      <c r="C29" s="3" t="s">
        <v>616</v>
      </c>
    </row>
    <row r="30" spans="1:9">
      <c r="A30" s="313"/>
      <c r="E30" s="314"/>
      <c r="F30" s="314"/>
      <c r="G30" s="314"/>
      <c r="H30" s="314"/>
      <c r="I30" s="314"/>
    </row>
    <row r="31" spans="1:9">
      <c r="A31" s="313"/>
      <c r="B31" s="314"/>
      <c r="E31" s="314"/>
      <c r="F31" s="314"/>
      <c r="G31" s="314"/>
      <c r="H31" s="314"/>
      <c r="I31" s="314"/>
    </row>
    <row r="32" spans="1:9">
      <c r="A32" s="313"/>
      <c r="B32" s="314"/>
      <c r="E32" s="314"/>
      <c r="F32" s="314"/>
      <c r="G32" s="314"/>
      <c r="H32" s="314"/>
      <c r="I32" s="314"/>
    </row>
    <row r="33" spans="1:9">
      <c r="A33" s="313"/>
      <c r="B33" s="314"/>
      <c r="E33" s="314"/>
      <c r="F33" s="314"/>
      <c r="G33" s="314"/>
      <c r="H33" s="314"/>
      <c r="I33" s="314"/>
    </row>
    <row r="34" spans="1:9">
      <c r="A34" s="313"/>
      <c r="B34" s="314"/>
      <c r="E34" s="314"/>
      <c r="F34" s="314"/>
      <c r="G34" s="314"/>
      <c r="H34" s="314"/>
      <c r="I34" s="314"/>
    </row>
    <row r="35" spans="1:9">
      <c r="A35" s="313"/>
      <c r="B35" s="314"/>
      <c r="E35" s="314"/>
      <c r="F35" s="314"/>
      <c r="G35" s="314"/>
      <c r="H35" s="314"/>
      <c r="I35" s="314"/>
    </row>
    <row r="36" spans="1:9">
      <c r="A36" s="313"/>
      <c r="B36" s="314"/>
      <c r="E36" s="314"/>
      <c r="F36" s="314"/>
      <c r="G36" s="314"/>
      <c r="H36" s="314"/>
      <c r="I36" s="314"/>
    </row>
    <row r="37" spans="1:9">
      <c r="A37" s="313"/>
      <c r="B37" s="314"/>
      <c r="E37" s="314"/>
      <c r="F37" s="314"/>
      <c r="G37" s="314"/>
      <c r="H37" s="314"/>
      <c r="I37" s="314"/>
    </row>
    <row r="38" spans="1:9">
      <c r="A38" s="313"/>
      <c r="B38" s="314"/>
      <c r="E38" s="314"/>
      <c r="F38" s="314"/>
      <c r="G38" s="314"/>
      <c r="H38" s="314"/>
      <c r="I38" s="314"/>
    </row>
    <row r="39" spans="1:9">
      <c r="A39" s="313"/>
      <c r="B39" s="314"/>
      <c r="E39" s="314"/>
      <c r="F39" s="314"/>
      <c r="G39" s="314"/>
      <c r="H39" s="314"/>
      <c r="I39" s="314"/>
    </row>
    <row r="40" spans="1:9">
      <c r="A40" s="313"/>
      <c r="B40" s="314"/>
      <c r="E40" s="314"/>
      <c r="F40" s="314"/>
      <c r="G40" s="314"/>
      <c r="H40" s="314"/>
      <c r="I40" s="314"/>
    </row>
    <row r="41" spans="1:9">
      <c r="A41" s="313"/>
      <c r="B41" s="314"/>
      <c r="E41" s="314"/>
      <c r="F41" s="314"/>
      <c r="G41" s="314"/>
      <c r="H41" s="314"/>
      <c r="I41" s="314"/>
    </row>
    <row r="42" spans="1:9">
      <c r="A42" s="313"/>
      <c r="B42" s="314"/>
      <c r="E42" s="314"/>
      <c r="F42" s="314"/>
      <c r="G42" s="314"/>
      <c r="H42" s="314"/>
      <c r="I42" s="314"/>
    </row>
    <row r="43" spans="1:9">
      <c r="A43" s="313"/>
      <c r="B43" s="314"/>
      <c r="E43" s="314"/>
      <c r="F43" s="314"/>
      <c r="G43" s="314"/>
      <c r="H43" s="314"/>
      <c r="I43" s="314"/>
    </row>
    <row r="44" spans="1:9">
      <c r="A44" s="313"/>
      <c r="B44" s="314"/>
      <c r="E44" s="314"/>
      <c r="F44" s="314"/>
      <c r="G44" s="314"/>
      <c r="H44" s="314"/>
      <c r="I44" s="314"/>
    </row>
    <row r="45" spans="1:9">
      <c r="A45" s="313"/>
      <c r="B45" s="314"/>
      <c r="E45" s="314"/>
      <c r="F45" s="314"/>
      <c r="G45" s="314"/>
      <c r="H45" s="314"/>
      <c r="I45" s="314"/>
    </row>
    <row r="46" spans="1:9">
      <c r="A46" s="313"/>
      <c r="B46" s="314"/>
      <c r="E46" s="314"/>
      <c r="F46" s="314"/>
      <c r="G46" s="314"/>
      <c r="H46" s="314"/>
      <c r="I46" s="314"/>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6CC9A-1CF7-4CFD-8285-2B64183EF888}">
  <sheetPr codeName="Sheet40">
    <tabColor rgb="FF002060"/>
  </sheetPr>
  <dimension ref="A1:S55"/>
  <sheetViews>
    <sheetView showGridLines="0" zoomScale="90" zoomScaleNormal="90" workbookViewId="0">
      <selection activeCell="D9" sqref="D9"/>
    </sheetView>
  </sheetViews>
  <sheetFormatPr defaultRowHeight="15" outlineLevelRow="1"/>
  <cols>
    <col min="1" max="1" width="20.28515625" style="3" customWidth="1"/>
    <col min="2" max="2" width="17.5703125" style="3" customWidth="1"/>
    <col min="3" max="3" width="15.5703125" style="3" customWidth="1"/>
    <col min="4" max="4" width="12.42578125" style="3" customWidth="1"/>
    <col min="5" max="5" width="22.85546875" style="3" bestFit="1" customWidth="1"/>
    <col min="6" max="6" width="22" style="3" bestFit="1" customWidth="1"/>
    <col min="7" max="7" width="11.7109375" style="3" bestFit="1" customWidth="1"/>
    <col min="8" max="8" width="14.5703125" style="3" bestFit="1" customWidth="1"/>
    <col min="9" max="9" width="15" style="3" bestFit="1" customWidth="1"/>
    <col min="10" max="10" width="11.140625" style="3" bestFit="1" customWidth="1"/>
    <col min="11" max="11" width="12.140625" style="3" bestFit="1" customWidth="1"/>
    <col min="12" max="12" width="13.85546875" style="3" bestFit="1" customWidth="1"/>
    <col min="13" max="13" width="16.7109375" style="3" bestFit="1" customWidth="1"/>
    <col min="14" max="14" width="13.42578125" style="3" bestFit="1" customWidth="1"/>
    <col min="15" max="15" width="8.7109375" style="3"/>
    <col min="16" max="16" width="11.28515625" style="3" bestFit="1" customWidth="1"/>
    <col min="17" max="17" width="11.5703125" style="3" bestFit="1" customWidth="1"/>
    <col min="18" max="257" width="8.7109375" style="3"/>
    <col min="258" max="258" width="37.5703125" style="3" customWidth="1"/>
    <col min="259" max="259" width="12.5703125" style="3" customWidth="1"/>
    <col min="260" max="268" width="13.42578125" style="3" customWidth="1"/>
    <col min="269" max="513" width="8.7109375" style="3"/>
    <col min="514" max="514" width="37.5703125" style="3" customWidth="1"/>
    <col min="515" max="515" width="12.5703125" style="3" customWidth="1"/>
    <col min="516" max="524" width="13.42578125" style="3" customWidth="1"/>
    <col min="525" max="769" width="8.7109375" style="3"/>
    <col min="770" max="770" width="37.5703125" style="3" customWidth="1"/>
    <col min="771" max="771" width="12.5703125" style="3" customWidth="1"/>
    <col min="772" max="780" width="13.42578125" style="3" customWidth="1"/>
    <col min="781" max="1025" width="8.7109375" style="3"/>
    <col min="1026" max="1026" width="37.5703125" style="3" customWidth="1"/>
    <col min="1027" max="1027" width="12.5703125" style="3" customWidth="1"/>
    <col min="1028" max="1036" width="13.42578125" style="3" customWidth="1"/>
    <col min="1037" max="1281" width="8.7109375" style="3"/>
    <col min="1282" max="1282" width="37.5703125" style="3" customWidth="1"/>
    <col min="1283" max="1283" width="12.5703125" style="3" customWidth="1"/>
    <col min="1284" max="1292" width="13.42578125" style="3" customWidth="1"/>
    <col min="1293" max="1537" width="8.7109375" style="3"/>
    <col min="1538" max="1538" width="37.5703125" style="3" customWidth="1"/>
    <col min="1539" max="1539" width="12.5703125" style="3" customWidth="1"/>
    <col min="1540" max="1548" width="13.42578125" style="3" customWidth="1"/>
    <col min="1549" max="1793" width="8.7109375" style="3"/>
    <col min="1794" max="1794" width="37.5703125" style="3" customWidth="1"/>
    <col min="1795" max="1795" width="12.5703125" style="3" customWidth="1"/>
    <col min="1796" max="1804" width="13.42578125" style="3" customWidth="1"/>
    <col min="1805" max="2049" width="8.7109375" style="3"/>
    <col min="2050" max="2050" width="37.5703125" style="3" customWidth="1"/>
    <col min="2051" max="2051" width="12.5703125" style="3" customWidth="1"/>
    <col min="2052" max="2060" width="13.42578125" style="3" customWidth="1"/>
    <col min="2061" max="2305" width="8.7109375" style="3"/>
    <col min="2306" max="2306" width="37.5703125" style="3" customWidth="1"/>
    <col min="2307" max="2307" width="12.5703125" style="3" customWidth="1"/>
    <col min="2308" max="2316" width="13.42578125" style="3" customWidth="1"/>
    <col min="2317" max="2561" width="8.7109375" style="3"/>
    <col min="2562" max="2562" width="37.5703125" style="3" customWidth="1"/>
    <col min="2563" max="2563" width="12.5703125" style="3" customWidth="1"/>
    <col min="2564" max="2572" width="13.42578125" style="3" customWidth="1"/>
    <col min="2573" max="2817" width="8.7109375" style="3"/>
    <col min="2818" max="2818" width="37.5703125" style="3" customWidth="1"/>
    <col min="2819" max="2819" width="12.5703125" style="3" customWidth="1"/>
    <col min="2820" max="2828" width="13.42578125" style="3" customWidth="1"/>
    <col min="2829" max="3073" width="8.7109375" style="3"/>
    <col min="3074" max="3074" width="37.5703125" style="3" customWidth="1"/>
    <col min="3075" max="3075" width="12.5703125" style="3" customWidth="1"/>
    <col min="3076" max="3084" width="13.42578125" style="3" customWidth="1"/>
    <col min="3085" max="3329" width="8.7109375" style="3"/>
    <col min="3330" max="3330" width="37.5703125" style="3" customWidth="1"/>
    <col min="3331" max="3331" width="12.5703125" style="3" customWidth="1"/>
    <col min="3332" max="3340" width="13.42578125" style="3" customWidth="1"/>
    <col min="3341" max="3585" width="8.7109375" style="3"/>
    <col min="3586" max="3586" width="37.5703125" style="3" customWidth="1"/>
    <col min="3587" max="3587" width="12.5703125" style="3" customWidth="1"/>
    <col min="3588" max="3596" width="13.42578125" style="3" customWidth="1"/>
    <col min="3597" max="3841" width="8.7109375" style="3"/>
    <col min="3842" max="3842" width="37.5703125" style="3" customWidth="1"/>
    <col min="3843" max="3843" width="12.5703125" style="3" customWidth="1"/>
    <col min="3844" max="3852" width="13.42578125" style="3" customWidth="1"/>
    <col min="3853" max="4097" width="8.7109375" style="3"/>
    <col min="4098" max="4098" width="37.5703125" style="3" customWidth="1"/>
    <col min="4099" max="4099" width="12.5703125" style="3" customWidth="1"/>
    <col min="4100" max="4108" width="13.42578125" style="3" customWidth="1"/>
    <col min="4109" max="4353" width="8.7109375" style="3"/>
    <col min="4354" max="4354" width="37.5703125" style="3" customWidth="1"/>
    <col min="4355" max="4355" width="12.5703125" style="3" customWidth="1"/>
    <col min="4356" max="4364" width="13.42578125" style="3" customWidth="1"/>
    <col min="4365" max="4609" width="8.7109375" style="3"/>
    <col min="4610" max="4610" width="37.5703125" style="3" customWidth="1"/>
    <col min="4611" max="4611" width="12.5703125" style="3" customWidth="1"/>
    <col min="4612" max="4620" width="13.42578125" style="3" customWidth="1"/>
    <col min="4621" max="4865" width="8.7109375" style="3"/>
    <col min="4866" max="4866" width="37.5703125" style="3" customWidth="1"/>
    <col min="4867" max="4867" width="12.5703125" style="3" customWidth="1"/>
    <col min="4868" max="4876" width="13.42578125" style="3" customWidth="1"/>
    <col min="4877" max="5121" width="8.7109375" style="3"/>
    <col min="5122" max="5122" width="37.5703125" style="3" customWidth="1"/>
    <col min="5123" max="5123" width="12.5703125" style="3" customWidth="1"/>
    <col min="5124" max="5132" width="13.42578125" style="3" customWidth="1"/>
    <col min="5133" max="5377" width="8.7109375" style="3"/>
    <col min="5378" max="5378" width="37.5703125" style="3" customWidth="1"/>
    <col min="5379" max="5379" width="12.5703125" style="3" customWidth="1"/>
    <col min="5380" max="5388" width="13.42578125" style="3" customWidth="1"/>
    <col min="5389" max="5633" width="8.7109375" style="3"/>
    <col min="5634" max="5634" width="37.5703125" style="3" customWidth="1"/>
    <col min="5635" max="5635" width="12.5703125" style="3" customWidth="1"/>
    <col min="5636" max="5644" width="13.42578125" style="3" customWidth="1"/>
    <col min="5645" max="5889" width="8.7109375" style="3"/>
    <col min="5890" max="5890" width="37.5703125" style="3" customWidth="1"/>
    <col min="5891" max="5891" width="12.5703125" style="3" customWidth="1"/>
    <col min="5892" max="5900" width="13.42578125" style="3" customWidth="1"/>
    <col min="5901" max="6145" width="8.7109375" style="3"/>
    <col min="6146" max="6146" width="37.5703125" style="3" customWidth="1"/>
    <col min="6147" max="6147" width="12.5703125" style="3" customWidth="1"/>
    <col min="6148" max="6156" width="13.42578125" style="3" customWidth="1"/>
    <col min="6157" max="6401" width="8.7109375" style="3"/>
    <col min="6402" max="6402" width="37.5703125" style="3" customWidth="1"/>
    <col min="6403" max="6403" width="12.5703125" style="3" customWidth="1"/>
    <col min="6404" max="6412" width="13.42578125" style="3" customWidth="1"/>
    <col min="6413" max="6657" width="8.7109375" style="3"/>
    <col min="6658" max="6658" width="37.5703125" style="3" customWidth="1"/>
    <col min="6659" max="6659" width="12.5703125" style="3" customWidth="1"/>
    <col min="6660" max="6668" width="13.42578125" style="3" customWidth="1"/>
    <col min="6669" max="6913" width="8.7109375" style="3"/>
    <col min="6914" max="6914" width="37.5703125" style="3" customWidth="1"/>
    <col min="6915" max="6915" width="12.5703125" style="3" customWidth="1"/>
    <col min="6916" max="6924" width="13.42578125" style="3" customWidth="1"/>
    <col min="6925" max="7169" width="8.7109375" style="3"/>
    <col min="7170" max="7170" width="37.5703125" style="3" customWidth="1"/>
    <col min="7171" max="7171" width="12.5703125" style="3" customWidth="1"/>
    <col min="7172" max="7180" width="13.42578125" style="3" customWidth="1"/>
    <col min="7181" max="7425" width="8.7109375" style="3"/>
    <col min="7426" max="7426" width="37.5703125" style="3" customWidth="1"/>
    <col min="7427" max="7427" width="12.5703125" style="3" customWidth="1"/>
    <col min="7428" max="7436" width="13.42578125" style="3" customWidth="1"/>
    <col min="7437" max="7681" width="8.7109375" style="3"/>
    <col min="7682" max="7682" width="37.5703125" style="3" customWidth="1"/>
    <col min="7683" max="7683" width="12.5703125" style="3" customWidth="1"/>
    <col min="7684" max="7692" width="13.42578125" style="3" customWidth="1"/>
    <col min="7693" max="7937" width="8.7109375" style="3"/>
    <col min="7938" max="7938" width="37.5703125" style="3" customWidth="1"/>
    <col min="7939" max="7939" width="12.5703125" style="3" customWidth="1"/>
    <col min="7940" max="7948" width="13.42578125" style="3" customWidth="1"/>
    <col min="7949" max="8193" width="8.7109375" style="3"/>
    <col min="8194" max="8194" width="37.5703125" style="3" customWidth="1"/>
    <col min="8195" max="8195" width="12.5703125" style="3" customWidth="1"/>
    <col min="8196" max="8204" width="13.42578125" style="3" customWidth="1"/>
    <col min="8205" max="8449" width="8.7109375" style="3"/>
    <col min="8450" max="8450" width="37.5703125" style="3" customWidth="1"/>
    <col min="8451" max="8451" width="12.5703125" style="3" customWidth="1"/>
    <col min="8452" max="8460" width="13.42578125" style="3" customWidth="1"/>
    <col min="8461" max="8705" width="8.7109375" style="3"/>
    <col min="8706" max="8706" width="37.5703125" style="3" customWidth="1"/>
    <col min="8707" max="8707" width="12.5703125" style="3" customWidth="1"/>
    <col min="8708" max="8716" width="13.42578125" style="3" customWidth="1"/>
    <col min="8717" max="8961" width="8.7109375" style="3"/>
    <col min="8962" max="8962" width="37.5703125" style="3" customWidth="1"/>
    <col min="8963" max="8963" width="12.5703125" style="3" customWidth="1"/>
    <col min="8964" max="8972" width="13.42578125" style="3" customWidth="1"/>
    <col min="8973" max="9217" width="8.7109375" style="3"/>
    <col min="9218" max="9218" width="37.5703125" style="3" customWidth="1"/>
    <col min="9219" max="9219" width="12.5703125" style="3" customWidth="1"/>
    <col min="9220" max="9228" width="13.42578125" style="3" customWidth="1"/>
    <col min="9229" max="9473" width="8.7109375" style="3"/>
    <col min="9474" max="9474" width="37.5703125" style="3" customWidth="1"/>
    <col min="9475" max="9475" width="12.5703125" style="3" customWidth="1"/>
    <col min="9476" max="9484" width="13.42578125" style="3" customWidth="1"/>
    <col min="9485" max="9729" width="8.7109375" style="3"/>
    <col min="9730" max="9730" width="37.5703125" style="3" customWidth="1"/>
    <col min="9731" max="9731" width="12.5703125" style="3" customWidth="1"/>
    <col min="9732" max="9740" width="13.42578125" style="3" customWidth="1"/>
    <col min="9741" max="9985" width="8.7109375" style="3"/>
    <col min="9986" max="9986" width="37.5703125" style="3" customWidth="1"/>
    <col min="9987" max="9987" width="12.5703125" style="3" customWidth="1"/>
    <col min="9988" max="9996" width="13.42578125" style="3" customWidth="1"/>
    <col min="9997" max="10241" width="8.7109375" style="3"/>
    <col min="10242" max="10242" width="37.5703125" style="3" customWidth="1"/>
    <col min="10243" max="10243" width="12.5703125" style="3" customWidth="1"/>
    <col min="10244" max="10252" width="13.42578125" style="3" customWidth="1"/>
    <col min="10253" max="10497" width="8.7109375" style="3"/>
    <col min="10498" max="10498" width="37.5703125" style="3" customWidth="1"/>
    <col min="10499" max="10499" width="12.5703125" style="3" customWidth="1"/>
    <col min="10500" max="10508" width="13.42578125" style="3" customWidth="1"/>
    <col min="10509" max="10753" width="8.7109375" style="3"/>
    <col min="10754" max="10754" width="37.5703125" style="3" customWidth="1"/>
    <col min="10755" max="10755" width="12.5703125" style="3" customWidth="1"/>
    <col min="10756" max="10764" width="13.42578125" style="3" customWidth="1"/>
    <col min="10765" max="11009" width="8.7109375" style="3"/>
    <col min="11010" max="11010" width="37.5703125" style="3" customWidth="1"/>
    <col min="11011" max="11011" width="12.5703125" style="3" customWidth="1"/>
    <col min="11012" max="11020" width="13.42578125" style="3" customWidth="1"/>
    <col min="11021" max="11265" width="8.7109375" style="3"/>
    <col min="11266" max="11266" width="37.5703125" style="3" customWidth="1"/>
    <col min="11267" max="11267" width="12.5703125" style="3" customWidth="1"/>
    <col min="11268" max="11276" width="13.42578125" style="3" customWidth="1"/>
    <col min="11277" max="11521" width="8.7109375" style="3"/>
    <col min="11522" max="11522" width="37.5703125" style="3" customWidth="1"/>
    <col min="11523" max="11523" width="12.5703125" style="3" customWidth="1"/>
    <col min="11524" max="11532" width="13.42578125" style="3" customWidth="1"/>
    <col min="11533" max="11777" width="8.7109375" style="3"/>
    <col min="11778" max="11778" width="37.5703125" style="3" customWidth="1"/>
    <col min="11779" max="11779" width="12.5703125" style="3" customWidth="1"/>
    <col min="11780" max="11788" width="13.42578125" style="3" customWidth="1"/>
    <col min="11789" max="12033" width="8.7109375" style="3"/>
    <col min="12034" max="12034" width="37.5703125" style="3" customWidth="1"/>
    <col min="12035" max="12035" width="12.5703125" style="3" customWidth="1"/>
    <col min="12036" max="12044" width="13.42578125" style="3" customWidth="1"/>
    <col min="12045" max="12289" width="8.7109375" style="3"/>
    <col min="12290" max="12290" width="37.5703125" style="3" customWidth="1"/>
    <col min="12291" max="12291" width="12.5703125" style="3" customWidth="1"/>
    <col min="12292" max="12300" width="13.42578125" style="3" customWidth="1"/>
    <col min="12301" max="12545" width="8.7109375" style="3"/>
    <col min="12546" max="12546" width="37.5703125" style="3" customWidth="1"/>
    <col min="12547" max="12547" width="12.5703125" style="3" customWidth="1"/>
    <col min="12548" max="12556" width="13.42578125" style="3" customWidth="1"/>
    <col min="12557" max="12801" width="8.7109375" style="3"/>
    <col min="12802" max="12802" width="37.5703125" style="3" customWidth="1"/>
    <col min="12803" max="12803" width="12.5703125" style="3" customWidth="1"/>
    <col min="12804" max="12812" width="13.42578125" style="3" customWidth="1"/>
    <col min="12813" max="13057" width="8.7109375" style="3"/>
    <col min="13058" max="13058" width="37.5703125" style="3" customWidth="1"/>
    <col min="13059" max="13059" width="12.5703125" style="3" customWidth="1"/>
    <col min="13060" max="13068" width="13.42578125" style="3" customWidth="1"/>
    <col min="13069" max="13313" width="8.7109375" style="3"/>
    <col min="13314" max="13314" width="37.5703125" style="3" customWidth="1"/>
    <col min="13315" max="13315" width="12.5703125" style="3" customWidth="1"/>
    <col min="13316" max="13324" width="13.42578125" style="3" customWidth="1"/>
    <col min="13325" max="13569" width="8.7109375" style="3"/>
    <col min="13570" max="13570" width="37.5703125" style="3" customWidth="1"/>
    <col min="13571" max="13571" width="12.5703125" style="3" customWidth="1"/>
    <col min="13572" max="13580" width="13.42578125" style="3" customWidth="1"/>
    <col min="13581" max="13825" width="8.7109375" style="3"/>
    <col min="13826" max="13826" width="37.5703125" style="3" customWidth="1"/>
    <col min="13827" max="13827" width="12.5703125" style="3" customWidth="1"/>
    <col min="13828" max="13836" width="13.42578125" style="3" customWidth="1"/>
    <col min="13837" max="14081" width="8.7109375" style="3"/>
    <col min="14082" max="14082" width="37.5703125" style="3" customWidth="1"/>
    <col min="14083" max="14083" width="12.5703125" style="3" customWidth="1"/>
    <col min="14084" max="14092" width="13.42578125" style="3" customWidth="1"/>
    <col min="14093" max="14337" width="8.7109375" style="3"/>
    <col min="14338" max="14338" width="37.5703125" style="3" customWidth="1"/>
    <col min="14339" max="14339" width="12.5703125" style="3" customWidth="1"/>
    <col min="14340" max="14348" width="13.42578125" style="3" customWidth="1"/>
    <col min="14349" max="14593" width="8.7109375" style="3"/>
    <col min="14594" max="14594" width="37.5703125" style="3" customWidth="1"/>
    <col min="14595" max="14595" width="12.5703125" style="3" customWidth="1"/>
    <col min="14596" max="14604" width="13.42578125" style="3" customWidth="1"/>
    <col min="14605" max="14849" width="8.7109375" style="3"/>
    <col min="14850" max="14850" width="37.5703125" style="3" customWidth="1"/>
    <col min="14851" max="14851" width="12.5703125" style="3" customWidth="1"/>
    <col min="14852" max="14860" width="13.42578125" style="3" customWidth="1"/>
    <col min="14861" max="15105" width="8.7109375" style="3"/>
    <col min="15106" max="15106" width="37.5703125" style="3" customWidth="1"/>
    <col min="15107" max="15107" width="12.5703125" style="3" customWidth="1"/>
    <col min="15108" max="15116" width="13.42578125" style="3" customWidth="1"/>
    <col min="15117" max="15361" width="8.7109375" style="3"/>
    <col min="15362" max="15362" width="37.5703125" style="3" customWidth="1"/>
    <col min="15363" max="15363" width="12.5703125" style="3" customWidth="1"/>
    <col min="15364" max="15372" width="13.42578125" style="3" customWidth="1"/>
    <col min="15373" max="15617" width="8.7109375" style="3"/>
    <col min="15618" max="15618" width="37.5703125" style="3" customWidth="1"/>
    <col min="15619" max="15619" width="12.5703125" style="3" customWidth="1"/>
    <col min="15620" max="15628" width="13.42578125" style="3" customWidth="1"/>
    <col min="15629" max="15873" width="8.7109375" style="3"/>
    <col min="15874" max="15874" width="37.5703125" style="3" customWidth="1"/>
    <col min="15875" max="15875" width="12.5703125" style="3" customWidth="1"/>
    <col min="15876" max="15884" width="13.42578125" style="3" customWidth="1"/>
    <col min="15885" max="16129" width="8.7109375" style="3"/>
    <col min="16130" max="16130" width="37.5703125" style="3" customWidth="1"/>
    <col min="16131" max="16131" width="12.5703125" style="3" customWidth="1"/>
    <col min="16132" max="16140" width="13.42578125" style="3" customWidth="1"/>
    <col min="16141" max="16384" width="8.7109375" style="3"/>
  </cols>
  <sheetData>
    <row r="1" spans="1:19" ht="32.25">
      <c r="A1" s="1" t="s">
        <v>370</v>
      </c>
      <c r="B1" s="2"/>
      <c r="C1" s="2"/>
      <c r="D1" s="2"/>
      <c r="E1" s="2"/>
      <c r="F1" s="2"/>
      <c r="G1" s="2"/>
      <c r="H1" s="2"/>
      <c r="I1" s="2"/>
      <c r="J1" s="2"/>
      <c r="K1" s="2"/>
      <c r="L1" s="1"/>
      <c r="M1" s="1"/>
      <c r="N1" s="2"/>
      <c r="O1" s="2"/>
      <c r="P1" s="2"/>
      <c r="Q1" s="2"/>
      <c r="R1" s="2"/>
    </row>
    <row r="2" spans="1:19" s="13" customFormat="1" ht="21.6" customHeight="1">
      <c r="A2" s="4" t="s">
        <v>429</v>
      </c>
      <c r="B2" s="4"/>
      <c r="C2" s="4"/>
      <c r="D2" s="4"/>
      <c r="E2" s="4"/>
      <c r="F2" s="4"/>
      <c r="G2" s="4"/>
      <c r="H2" s="4"/>
      <c r="I2" s="4"/>
      <c r="J2" s="4"/>
      <c r="K2" s="4"/>
      <c r="L2" s="4"/>
      <c r="M2" s="4"/>
      <c r="N2" s="4"/>
      <c r="O2" s="4"/>
      <c r="P2" s="4"/>
      <c r="Q2" s="4"/>
      <c r="R2" s="4"/>
      <c r="S2" s="3"/>
    </row>
    <row r="3" spans="1:19" s="13" customFormat="1">
      <c r="P3" s="3"/>
      <c r="Q3" s="3"/>
      <c r="R3" s="3"/>
      <c r="S3" s="3"/>
    </row>
    <row r="4" spans="1:19" s="17" customFormat="1" ht="23.25">
      <c r="A4" s="10" t="s">
        <v>371</v>
      </c>
      <c r="B4" s="10"/>
      <c r="C4" s="10"/>
      <c r="D4" s="10"/>
      <c r="E4" s="10"/>
      <c r="F4" s="13"/>
      <c r="G4" s="13"/>
      <c r="H4" s="13"/>
      <c r="I4" s="13"/>
      <c r="J4" s="13"/>
      <c r="K4" s="13"/>
      <c r="L4" s="13"/>
      <c r="M4" s="13"/>
      <c r="N4" s="13"/>
      <c r="P4" s="3"/>
      <c r="Q4" s="3"/>
      <c r="R4" s="3"/>
      <c r="S4" s="3"/>
    </row>
    <row r="5" spans="1:19">
      <c r="A5" s="153" t="s">
        <v>384</v>
      </c>
      <c r="B5" s="153" t="s">
        <v>382</v>
      </c>
      <c r="C5" s="153" t="s">
        <v>393</v>
      </c>
      <c r="D5" t="s">
        <v>372</v>
      </c>
      <c r="E5" t="s">
        <v>407</v>
      </c>
      <c r="F5" s="22"/>
      <c r="G5" s="22"/>
      <c r="H5" s="22"/>
      <c r="I5" s="22"/>
      <c r="J5" s="22"/>
      <c r="K5" s="22"/>
      <c r="L5" s="22"/>
      <c r="M5" s="22"/>
      <c r="N5" s="22"/>
    </row>
    <row r="6" spans="1:19">
      <c r="A6">
        <v>2</v>
      </c>
      <c r="B6" s="145">
        <v>0.02</v>
      </c>
      <c r="C6" s="145">
        <f>B6+D6</f>
        <v>0.02</v>
      </c>
      <c r="D6" s="307">
        <v>0</v>
      </c>
      <c r="E6" s="305">
        <f>B47</f>
        <v>10469.498664259538</v>
      </c>
      <c r="F6" s="22"/>
      <c r="G6" s="22"/>
      <c r="H6" s="22"/>
      <c r="I6" s="22"/>
      <c r="J6" s="22"/>
      <c r="K6" s="22"/>
      <c r="L6" s="22"/>
      <c r="M6" s="22"/>
      <c r="N6" s="22"/>
    </row>
    <row r="7" spans="1:19">
      <c r="A7">
        <v>5</v>
      </c>
      <c r="B7" s="145">
        <v>0.06</v>
      </c>
      <c r="C7" s="145">
        <f t="shared" ref="C7:C8" si="0">B7+D7</f>
        <v>0.06</v>
      </c>
      <c r="D7" s="307">
        <v>0</v>
      </c>
      <c r="E7" s="305">
        <f>-D47</f>
        <v>-14945.163457321138</v>
      </c>
      <c r="F7" s="22"/>
      <c r="G7" s="22"/>
      <c r="H7" s="22"/>
      <c r="I7" s="22"/>
      <c r="J7" s="22"/>
      <c r="K7" s="22"/>
      <c r="L7" s="22"/>
      <c r="M7" s="22"/>
      <c r="N7" s="22"/>
    </row>
    <row r="8" spans="1:19">
      <c r="A8">
        <v>10</v>
      </c>
      <c r="B8" s="145">
        <v>7.0000000000000007E-2</v>
      </c>
      <c r="C8" s="145">
        <f t="shared" si="0"/>
        <v>7.0000000000000007E-2</v>
      </c>
      <c r="D8" s="307">
        <v>0</v>
      </c>
      <c r="E8" s="305">
        <f>C47</f>
        <v>5083.4929213471778</v>
      </c>
      <c r="F8" s="23"/>
      <c r="G8" s="23"/>
      <c r="H8" s="23"/>
      <c r="I8" s="23"/>
      <c r="J8" s="23"/>
      <c r="K8" s="23"/>
      <c r="L8" s="23"/>
      <c r="M8" s="23"/>
      <c r="N8" s="23"/>
    </row>
    <row r="10" spans="1:19" ht="15.75" thickBot="1">
      <c r="A10" s="291" t="s">
        <v>381</v>
      </c>
      <c r="B10" s="291" t="s">
        <v>385</v>
      </c>
    </row>
    <row r="11" spans="1:19">
      <c r="A11" s="290" t="s">
        <v>373</v>
      </c>
      <c r="E11" s="317" t="s">
        <v>408</v>
      </c>
      <c r="F11" s="300" t="b">
        <f>ABS(B30 - C30) &lt; 0.01</f>
        <v>1</v>
      </c>
    </row>
    <row r="12" spans="1:19">
      <c r="A12" s="290" t="s">
        <v>374</v>
      </c>
      <c r="E12" s="303" t="s">
        <v>410</v>
      </c>
      <c r="F12" s="304" t="b">
        <f>F13 &gt; 0</f>
        <v>1</v>
      </c>
    </row>
    <row r="13" spans="1:19" ht="15.75" thickBot="1">
      <c r="A13" s="290" t="s">
        <v>375</v>
      </c>
      <c r="E13" s="301" t="s">
        <v>409</v>
      </c>
      <c r="F13" s="302">
        <f>B28-C28</f>
        <v>607.82812828557871</v>
      </c>
    </row>
    <row r="14" spans="1:19">
      <c r="A14" s="290" t="s">
        <v>376</v>
      </c>
    </row>
    <row r="15" spans="1:19">
      <c r="A15" s="290" t="s">
        <v>377</v>
      </c>
    </row>
    <row r="16" spans="1:19">
      <c r="A16" s="290" t="s">
        <v>378</v>
      </c>
    </row>
    <row r="17" spans="1:6" hidden="1" outlineLevel="1">
      <c r="A17" s="3" t="s">
        <v>379</v>
      </c>
      <c r="B17" s="3" t="s">
        <v>380</v>
      </c>
      <c r="C17" s="3" t="s">
        <v>375</v>
      </c>
      <c r="D17" s="3" t="s">
        <v>376</v>
      </c>
      <c r="E17" s="3" t="s">
        <v>377</v>
      </c>
      <c r="F17" s="3" t="s">
        <v>383</v>
      </c>
    </row>
    <row r="18" spans="1:6" hidden="1" outlineLevel="1">
      <c r="A18" s="3" t="b">
        <f>AND(A19,A20,A21,A22,A23)</f>
        <v>0</v>
      </c>
      <c r="B18" s="3" t="b">
        <f>AND(B19,B20,B21,B22,B23)</f>
        <v>0</v>
      </c>
      <c r="C18" s="3" t="b">
        <f>AND(C19,C20,C21)</f>
        <v>0</v>
      </c>
      <c r="D18" s="3" t="b">
        <f>AND(D19,D20,D21)</f>
        <v>0</v>
      </c>
      <c r="E18" s="3" t="b">
        <f>AND(E19,E20,E21)</f>
        <v>0</v>
      </c>
      <c r="F18" s="3" t="b">
        <f>AND(F19,F20,F21)</f>
        <v>0</v>
      </c>
    </row>
    <row r="19" spans="1:6" hidden="1" outlineLevel="1">
      <c r="A19" s="3" t="b">
        <f>D6 &gt; 0</f>
        <v>0</v>
      </c>
      <c r="B19" s="3" t="b">
        <f>D6 &lt; 0</f>
        <v>0</v>
      </c>
      <c r="C19" s="3" t="b">
        <f>$D6 &lt; 0</f>
        <v>0</v>
      </c>
      <c r="D19" s="3" t="b">
        <f>$D6 &gt; 0</f>
        <v>0</v>
      </c>
      <c r="E19" s="3" t="b">
        <f>$D6 &gt; 0</f>
        <v>0</v>
      </c>
      <c r="F19" s="3" t="b">
        <f>$D6 &lt; 0</f>
        <v>0</v>
      </c>
    </row>
    <row r="20" spans="1:6" hidden="1" outlineLevel="1">
      <c r="A20" s="3" t="b">
        <f t="shared" ref="A20:A21" si="1">D7 &gt; 0</f>
        <v>0</v>
      </c>
      <c r="B20" s="3" t="b">
        <f t="shared" ref="B20:B21" si="2">D7 &lt; 0</f>
        <v>0</v>
      </c>
      <c r="C20" s="3" t="b">
        <f>$D7 = 0</f>
        <v>1</v>
      </c>
      <c r="D20" s="3" t="b">
        <f>$D7 = 0</f>
        <v>1</v>
      </c>
      <c r="E20" s="3" t="b">
        <f>$D7&lt;=0</f>
        <v>1</v>
      </c>
      <c r="F20" s="3" t="b">
        <f>$D7 &gt;= 0</f>
        <v>1</v>
      </c>
    </row>
    <row r="21" spans="1:6" hidden="1" outlineLevel="1">
      <c r="A21" s="3" t="b">
        <f t="shared" si="1"/>
        <v>0</v>
      </c>
      <c r="B21" s="3" t="b">
        <f t="shared" si="2"/>
        <v>0</v>
      </c>
      <c r="C21" s="3" t="b">
        <f>$D8 &gt; 0</f>
        <v>0</v>
      </c>
      <c r="D21" s="3" t="b">
        <f>$D8 &lt; 0</f>
        <v>0</v>
      </c>
      <c r="E21" s="3" t="b">
        <f>$D8 &gt; 0</f>
        <v>0</v>
      </c>
      <c r="F21" s="3" t="b">
        <f>$D8 &lt; 0</f>
        <v>0</v>
      </c>
    </row>
    <row r="22" spans="1:6" hidden="1" outlineLevel="1">
      <c r="A22" s="3" t="b">
        <f>$D6 = $D7</f>
        <v>1</v>
      </c>
      <c r="B22" s="3" t="b">
        <f>$D6 = $D7</f>
        <v>1</v>
      </c>
    </row>
    <row r="23" spans="1:6" hidden="1" outlineLevel="1">
      <c r="A23" s="3" t="b">
        <f>$D7=$D8</f>
        <v>1</v>
      </c>
      <c r="B23" s="3" t="b">
        <f>$D7=$D8</f>
        <v>1</v>
      </c>
    </row>
    <row r="24" spans="1:6" collapsed="1"/>
    <row r="26" spans="1:6" ht="23.25">
      <c r="A26" s="10" t="s">
        <v>394</v>
      </c>
      <c r="B26" s="10"/>
      <c r="C26" s="10"/>
    </row>
    <row r="27" spans="1:6">
      <c r="A27"/>
      <c r="B27" s="153" t="s">
        <v>395</v>
      </c>
      <c r="C27" s="153" t="s">
        <v>396</v>
      </c>
    </row>
    <row r="28" spans="1:6">
      <c r="A28" t="s">
        <v>398</v>
      </c>
      <c r="B28" s="294">
        <f>SUM(B47:C47)</f>
        <v>15552.991585606716</v>
      </c>
      <c r="C28" s="294">
        <f>SUM(D47)</f>
        <v>14945.163457321138</v>
      </c>
    </row>
    <row r="29" spans="1:6">
      <c r="A29" t="s">
        <v>26</v>
      </c>
      <c r="B29" s="296">
        <v>5.5598639310828112E-2</v>
      </c>
      <c r="C29" s="299">
        <v>5.9999999483117385E-2</v>
      </c>
      <c r="D29" s="318"/>
    </row>
    <row r="30" spans="1:6">
      <c r="A30" s="295" t="s">
        <v>397</v>
      </c>
      <c r="B30" s="316">
        <f>SUM(B51:C51)</f>
        <v>4.9998376668200937</v>
      </c>
      <c r="C30" s="316">
        <f>SUM(D51)</f>
        <v>5.0000000121906316</v>
      </c>
      <c r="D30" s="318"/>
    </row>
    <row r="31" spans="1:6">
      <c r="A31" t="s">
        <v>399</v>
      </c>
      <c r="B31" s="315">
        <f>SUM(B54:C54) / (1 + ass_irr)^2</f>
        <v>40.33246143831586</v>
      </c>
      <c r="C31" s="316">
        <f>SUM(D54) / (1 + lia_irr)^2</f>
        <v>26.699893291563992</v>
      </c>
    </row>
    <row r="32" spans="1:6" hidden="1" outlineLevel="1">
      <c r="A32" t="s">
        <v>459</v>
      </c>
      <c r="B32" s="315">
        <f xml:space="preserve"> ( (B30^2) + B30 + B33 ) / (1 + ass_irr)^2</f>
        <v>40.395156820060684</v>
      </c>
      <c r="C32" s="315">
        <f xml:space="preserve"> ( (C30^2) + C30 + C33 ) / (1 + lia_irr)^2</f>
        <v>26.699893345812086</v>
      </c>
    </row>
    <row r="33" spans="1:4" hidden="1" outlineLevel="1">
      <c r="A33" t="s">
        <v>457</v>
      </c>
      <c r="B33" s="315">
        <f>SUM(B53:C53)</f>
        <v>15.013643826499345</v>
      </c>
      <c r="C33" s="315">
        <f>D53</f>
        <v>1.486114995418737E-16</v>
      </c>
    </row>
    <row r="34" spans="1:4" hidden="1" outlineLevel="1">
      <c r="A34" t="s">
        <v>402</v>
      </c>
      <c r="B34" s="294">
        <f>SUM(B49:C49)</f>
        <v>15596.45614921038</v>
      </c>
      <c r="C34" s="292">
        <f>SUM(D49)</f>
        <v>14945.163493759334</v>
      </c>
      <c r="D34" s="145"/>
    </row>
    <row r="35" spans="1:4" hidden="1" outlineLevel="1">
      <c r="A35" t="s">
        <v>403</v>
      </c>
      <c r="B35" s="294">
        <f>B34-B28</f>
        <v>43.464563603663919</v>
      </c>
      <c r="C35" s="294">
        <f>C34-C28</f>
        <v>3.6438195820664987E-5</v>
      </c>
      <c r="D35" s="145"/>
    </row>
    <row r="36" spans="1:4" hidden="1" outlineLevel="1">
      <c r="A36" t="s">
        <v>432</v>
      </c>
      <c r="B36" s="294">
        <f>B30-C30</f>
        <v>-1.6234537053794185E-4</v>
      </c>
      <c r="C36" s="294"/>
      <c r="D36" s="145"/>
    </row>
    <row r="37" spans="1:4" hidden="1" outlineLevel="1">
      <c r="A37"/>
      <c r="B37" s="294"/>
      <c r="C37" s="294"/>
      <c r="D37" s="145"/>
    </row>
    <row r="38" spans="1:4" collapsed="1"/>
    <row r="40" spans="1:4" ht="23.25">
      <c r="A40" s="10" t="s">
        <v>391</v>
      </c>
      <c r="B40" s="10"/>
      <c r="C40" s="10"/>
      <c r="D40" s="10"/>
    </row>
    <row r="41" spans="1:4">
      <c r="A41" s="153"/>
      <c r="B41" s="153" t="s">
        <v>386</v>
      </c>
      <c r="C41" s="153" t="s">
        <v>387</v>
      </c>
      <c r="D41" s="153" t="s">
        <v>388</v>
      </c>
    </row>
    <row r="42" spans="1:4">
      <c r="A42" t="s">
        <v>384</v>
      </c>
      <c r="B42" s="293">
        <v>2</v>
      </c>
      <c r="C42" s="293">
        <v>10</v>
      </c>
      <c r="D42" s="293">
        <v>5</v>
      </c>
    </row>
    <row r="43" spans="1:4">
      <c r="A43" t="s">
        <v>392</v>
      </c>
      <c r="B43" s="295">
        <f>B44 / (1 + _xlfn.XLOOKUP(B42,$A$6:$A$8,$C$6:$C$8)) ^ B42</f>
        <v>96.116878123798543</v>
      </c>
      <c r="C43" s="295">
        <f>C44 / (1 + _xlfn.XLOOKUP(C42,$A$6:$A$8,$C$6:$C$8)) ^ C42</f>
        <v>50.834929213471781</v>
      </c>
      <c r="D43" s="295">
        <f>D44 / (1 + _xlfn.XLOOKUP(D42,$A$6:$A$8,$C$6:$C$8)) ^ D42</f>
        <v>74.72581728660569</v>
      </c>
    </row>
    <row r="44" spans="1:4">
      <c r="A44" t="s">
        <v>389</v>
      </c>
      <c r="B44" s="295">
        <v>100</v>
      </c>
      <c r="C44" s="295">
        <v>100</v>
      </c>
      <c r="D44" s="295">
        <v>100</v>
      </c>
    </row>
    <row r="45" spans="1:4">
      <c r="A45" t="s">
        <v>405</v>
      </c>
      <c r="B45" s="298">
        <v>108.92466410295623</v>
      </c>
      <c r="C45" s="298">
        <v>100</v>
      </c>
      <c r="D45" s="297">
        <v>200</v>
      </c>
    </row>
    <row r="46" spans="1:4">
      <c r="A46" t="s">
        <v>404</v>
      </c>
      <c r="B46" s="294">
        <f>B44*B45</f>
        <v>10892.466410295623</v>
      </c>
      <c r="C46" s="294">
        <f t="shared" ref="C46" si="3">C44*C45</f>
        <v>10000</v>
      </c>
      <c r="D46" s="294">
        <f>D44*D45</f>
        <v>20000</v>
      </c>
    </row>
    <row r="47" spans="1:4">
      <c r="A47" t="s">
        <v>406</v>
      </c>
      <c r="B47" s="294">
        <f>B43*B45</f>
        <v>10469.498664259538</v>
      </c>
      <c r="C47" s="294">
        <f>C43*C45</f>
        <v>5083.4929213471778</v>
      </c>
      <c r="D47" s="294">
        <f>D43*D45</f>
        <v>14945.163457321138</v>
      </c>
    </row>
    <row r="48" spans="1:4">
      <c r="A48" t="s">
        <v>12</v>
      </c>
      <c r="B48" s="145" t="s">
        <v>390</v>
      </c>
      <c r="C48" s="145" t="s">
        <v>390</v>
      </c>
      <c r="D48" s="145" t="s">
        <v>390</v>
      </c>
    </row>
    <row r="49" spans="1:4" hidden="1" outlineLevel="1">
      <c r="A49" t="s">
        <v>400</v>
      </c>
      <c r="B49" s="294">
        <f>B46/(1 + $B$29)^B42</f>
        <v>9775.2660413314206</v>
      </c>
      <c r="C49" s="294">
        <f>C46/(1 + $B$29)^C42</f>
        <v>5821.1901078789597</v>
      </c>
      <c r="D49" s="294">
        <f>D46/(1 + $C$29)^D42</f>
        <v>14945.163493759334</v>
      </c>
    </row>
    <row r="50" spans="1:4" hidden="1" outlineLevel="1">
      <c r="A50" t="s">
        <v>401</v>
      </c>
      <c r="B50" s="145">
        <f>B49/$B$28</f>
        <v>0.62851355557716593</v>
      </c>
      <c r="C50" s="145">
        <f>C49/$B$28</f>
        <v>0.3742810555665762</v>
      </c>
      <c r="D50" s="145">
        <f>D49/$C$28</f>
        <v>1.0000000024381264</v>
      </c>
    </row>
    <row r="51" spans="1:4" hidden="1" outlineLevel="1">
      <c r="A51" t="s">
        <v>455</v>
      </c>
      <c r="B51" s="315">
        <f>B50*B42</f>
        <v>1.2570271111543319</v>
      </c>
      <c r="C51" s="315">
        <f>C50*C42</f>
        <v>3.7428105556657618</v>
      </c>
      <c r="D51" s="315">
        <f>D50*D42</f>
        <v>5.0000000121906316</v>
      </c>
    </row>
    <row r="52" spans="1:4" hidden="1" outlineLevel="1">
      <c r="A52" t="s">
        <v>456</v>
      </c>
      <c r="B52" s="315">
        <f>(B42-$B$30)^2</f>
        <v>8.9990260272726239</v>
      </c>
      <c r="C52" s="315">
        <f>(C42-$B$30)^2</f>
        <v>25.001623358151125</v>
      </c>
      <c r="D52" s="315">
        <f>(D42-$C$30)^2</f>
        <v>1.4861149917954008E-16</v>
      </c>
    </row>
    <row r="53" spans="1:4" hidden="1" outlineLevel="1">
      <c r="A53" t="s">
        <v>458</v>
      </c>
      <c r="B53" s="315">
        <f>B52*B50</f>
        <v>5.6560098451325747</v>
      </c>
      <c r="C53" s="315">
        <f>C52*C50</f>
        <v>9.3576339813667708</v>
      </c>
      <c r="D53" s="315">
        <f>D52*D50</f>
        <v>1.486114995418737E-16</v>
      </c>
    </row>
    <row r="54" spans="1:4" hidden="1" outlineLevel="1">
      <c r="A54" t="s">
        <v>460</v>
      </c>
      <c r="B54" s="315">
        <f>B42 * (B42+1) * B50</f>
        <v>3.7710813334629956</v>
      </c>
      <c r="C54" s="315">
        <f t="shared" ref="C54" si="4">C42 * (C42+1) * C50</f>
        <v>41.170916112323383</v>
      </c>
      <c r="D54" s="315">
        <f>D42 * (D42+1) * D50</f>
        <v>30.000000073143791</v>
      </c>
    </row>
    <row r="55" spans="1:4" collapsed="1"/>
  </sheetData>
  <phoneticPr fontId="31" type="noConversion"/>
  <conditionalFormatting sqref="A11">
    <cfRule type="expression" dxfId="48" priority="4">
      <formula>$A$18 = TRUE</formula>
    </cfRule>
  </conditionalFormatting>
  <conditionalFormatting sqref="A12">
    <cfRule type="expression" dxfId="47" priority="10">
      <formula>$B$18 = TRUE</formula>
    </cfRule>
  </conditionalFormatting>
  <conditionalFormatting sqref="A14">
    <cfRule type="expression" dxfId="46" priority="8">
      <formula>$D$18 = TRUE</formula>
    </cfRule>
  </conditionalFormatting>
  <conditionalFormatting sqref="A15">
    <cfRule type="expression" dxfId="45" priority="7">
      <formula>$E$18 = TRUE</formula>
    </cfRule>
  </conditionalFormatting>
  <conditionalFormatting sqref="A16">
    <cfRule type="expression" dxfId="44" priority="6">
      <formula>$F$18 = TRUE</formula>
    </cfRule>
  </conditionalFormatting>
  <conditionalFormatting sqref="F11:F12">
    <cfRule type="cellIs" dxfId="43" priority="2" operator="equal">
      <formula>FALSE</formula>
    </cfRule>
    <cfRule type="cellIs" dxfId="42" priority="3" operator="equal">
      <formula>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59" r:id="rId4" name="Button 27">
              <controlPr defaultSize="0" print="0" autoFill="0" autoPict="0" macro="[0]!rebalance_port">
                <anchor moveWithCells="1" sizeWithCells="1">
                  <from>
                    <xdr:col>2</xdr:col>
                    <xdr:colOff>219075</xdr:colOff>
                    <xdr:row>23</xdr:row>
                    <xdr:rowOff>47625</xdr:rowOff>
                  </from>
                  <to>
                    <xdr:col>4</xdr:col>
                    <xdr:colOff>76200</xdr:colOff>
                    <xdr:row>24</xdr:row>
                    <xdr:rowOff>161925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AD044-9DB8-4EC8-970D-1C467BF0FFDF}">
  <sheetPr codeName="Sheet42">
    <tabColor theme="5" tint="0.39997558519241921"/>
  </sheetPr>
  <dimension ref="A1:U52"/>
  <sheetViews>
    <sheetView zoomScale="90" zoomScaleNormal="90" workbookViewId="0">
      <selection activeCell="D18" sqref="D18"/>
    </sheetView>
  </sheetViews>
  <sheetFormatPr defaultRowHeight="15"/>
  <cols>
    <col min="1" max="1" width="20.28515625" style="3" customWidth="1"/>
    <col min="2" max="2" width="17.5703125" style="3" customWidth="1"/>
    <col min="3" max="3" width="17.140625" style="3" customWidth="1"/>
    <col min="4" max="4" width="15.42578125" style="3" customWidth="1"/>
    <col min="5" max="5" width="16.42578125" style="3" bestFit="1" customWidth="1"/>
    <col min="6" max="6" width="16.42578125" style="3" customWidth="1"/>
    <col min="7" max="7" width="24.85546875" style="3" bestFit="1" customWidth="1"/>
    <col min="8" max="8" width="22" style="3" bestFit="1" customWidth="1"/>
    <col min="9" max="9" width="14.85546875" style="3" customWidth="1"/>
    <col min="10" max="10" width="14.5703125" style="3" bestFit="1" customWidth="1"/>
    <col min="11" max="11" width="15" style="3" bestFit="1" customWidth="1"/>
    <col min="12" max="12" width="11.140625" style="3" bestFit="1" customWidth="1"/>
    <col min="13" max="13" width="12.140625" style="3" bestFit="1" customWidth="1"/>
    <col min="14" max="14" width="13.85546875" style="3" bestFit="1" customWidth="1"/>
    <col min="15" max="15" width="16.7109375" style="3" bestFit="1" customWidth="1"/>
    <col min="16" max="16" width="13.42578125" style="3" bestFit="1" customWidth="1"/>
    <col min="17" max="17" width="8.7109375" style="3"/>
    <col min="18" max="18" width="11.28515625" style="3" bestFit="1" customWidth="1"/>
    <col min="19" max="19" width="11.5703125" style="3" bestFit="1" customWidth="1"/>
    <col min="20" max="259" width="8.7109375" style="3"/>
    <col min="260" max="260" width="37.5703125" style="3" customWidth="1"/>
    <col min="261" max="261" width="12.5703125" style="3" customWidth="1"/>
    <col min="262" max="270" width="13.42578125" style="3" customWidth="1"/>
    <col min="271" max="515" width="8.7109375" style="3"/>
    <col min="516" max="516" width="37.5703125" style="3" customWidth="1"/>
    <col min="517" max="517" width="12.5703125" style="3" customWidth="1"/>
    <col min="518" max="526" width="13.42578125" style="3" customWidth="1"/>
    <col min="527" max="771" width="8.7109375" style="3"/>
    <col min="772" max="772" width="37.5703125" style="3" customWidth="1"/>
    <col min="773" max="773" width="12.5703125" style="3" customWidth="1"/>
    <col min="774" max="782" width="13.42578125" style="3" customWidth="1"/>
    <col min="783" max="1027" width="8.7109375" style="3"/>
    <col min="1028" max="1028" width="37.5703125" style="3" customWidth="1"/>
    <col min="1029" max="1029" width="12.5703125" style="3" customWidth="1"/>
    <col min="1030" max="1038" width="13.42578125" style="3" customWidth="1"/>
    <col min="1039" max="1283" width="8.7109375" style="3"/>
    <col min="1284" max="1284" width="37.5703125" style="3" customWidth="1"/>
    <col min="1285" max="1285" width="12.5703125" style="3" customWidth="1"/>
    <col min="1286" max="1294" width="13.42578125" style="3" customWidth="1"/>
    <col min="1295" max="1539" width="8.7109375" style="3"/>
    <col min="1540" max="1540" width="37.5703125" style="3" customWidth="1"/>
    <col min="1541" max="1541" width="12.5703125" style="3" customWidth="1"/>
    <col min="1542" max="1550" width="13.42578125" style="3" customWidth="1"/>
    <col min="1551" max="1795" width="8.7109375" style="3"/>
    <col min="1796" max="1796" width="37.5703125" style="3" customWidth="1"/>
    <col min="1797" max="1797" width="12.5703125" style="3" customWidth="1"/>
    <col min="1798" max="1806" width="13.42578125" style="3" customWidth="1"/>
    <col min="1807" max="2051" width="8.7109375" style="3"/>
    <col min="2052" max="2052" width="37.5703125" style="3" customWidth="1"/>
    <col min="2053" max="2053" width="12.5703125" style="3" customWidth="1"/>
    <col min="2054" max="2062" width="13.42578125" style="3" customWidth="1"/>
    <col min="2063" max="2307" width="8.7109375" style="3"/>
    <col min="2308" max="2308" width="37.5703125" style="3" customWidth="1"/>
    <col min="2309" max="2309" width="12.5703125" style="3" customWidth="1"/>
    <col min="2310" max="2318" width="13.42578125" style="3" customWidth="1"/>
    <col min="2319" max="2563" width="8.7109375" style="3"/>
    <col min="2564" max="2564" width="37.5703125" style="3" customWidth="1"/>
    <col min="2565" max="2565" width="12.5703125" style="3" customWidth="1"/>
    <col min="2566" max="2574" width="13.42578125" style="3" customWidth="1"/>
    <col min="2575" max="2819" width="8.7109375" style="3"/>
    <col min="2820" max="2820" width="37.5703125" style="3" customWidth="1"/>
    <col min="2821" max="2821" width="12.5703125" style="3" customWidth="1"/>
    <col min="2822" max="2830" width="13.42578125" style="3" customWidth="1"/>
    <col min="2831" max="3075" width="8.7109375" style="3"/>
    <col min="3076" max="3076" width="37.5703125" style="3" customWidth="1"/>
    <col min="3077" max="3077" width="12.5703125" style="3" customWidth="1"/>
    <col min="3078" max="3086" width="13.42578125" style="3" customWidth="1"/>
    <col min="3087" max="3331" width="8.7109375" style="3"/>
    <col min="3332" max="3332" width="37.5703125" style="3" customWidth="1"/>
    <col min="3333" max="3333" width="12.5703125" style="3" customWidth="1"/>
    <col min="3334" max="3342" width="13.42578125" style="3" customWidth="1"/>
    <col min="3343" max="3587" width="8.7109375" style="3"/>
    <col min="3588" max="3588" width="37.5703125" style="3" customWidth="1"/>
    <col min="3589" max="3589" width="12.5703125" style="3" customWidth="1"/>
    <col min="3590" max="3598" width="13.42578125" style="3" customWidth="1"/>
    <col min="3599" max="3843" width="8.7109375" style="3"/>
    <col min="3844" max="3844" width="37.5703125" style="3" customWidth="1"/>
    <col min="3845" max="3845" width="12.5703125" style="3" customWidth="1"/>
    <col min="3846" max="3854" width="13.42578125" style="3" customWidth="1"/>
    <col min="3855" max="4099" width="8.7109375" style="3"/>
    <col min="4100" max="4100" width="37.5703125" style="3" customWidth="1"/>
    <col min="4101" max="4101" width="12.5703125" style="3" customWidth="1"/>
    <col min="4102" max="4110" width="13.42578125" style="3" customWidth="1"/>
    <col min="4111" max="4355" width="8.7109375" style="3"/>
    <col min="4356" max="4356" width="37.5703125" style="3" customWidth="1"/>
    <col min="4357" max="4357" width="12.5703125" style="3" customWidth="1"/>
    <col min="4358" max="4366" width="13.42578125" style="3" customWidth="1"/>
    <col min="4367" max="4611" width="8.7109375" style="3"/>
    <col min="4612" max="4612" width="37.5703125" style="3" customWidth="1"/>
    <col min="4613" max="4613" width="12.5703125" style="3" customWidth="1"/>
    <col min="4614" max="4622" width="13.42578125" style="3" customWidth="1"/>
    <col min="4623" max="4867" width="8.7109375" style="3"/>
    <col min="4868" max="4868" width="37.5703125" style="3" customWidth="1"/>
    <col min="4869" max="4869" width="12.5703125" style="3" customWidth="1"/>
    <col min="4870" max="4878" width="13.42578125" style="3" customWidth="1"/>
    <col min="4879" max="5123" width="8.7109375" style="3"/>
    <col min="5124" max="5124" width="37.5703125" style="3" customWidth="1"/>
    <col min="5125" max="5125" width="12.5703125" style="3" customWidth="1"/>
    <col min="5126" max="5134" width="13.42578125" style="3" customWidth="1"/>
    <col min="5135" max="5379" width="8.7109375" style="3"/>
    <col min="5380" max="5380" width="37.5703125" style="3" customWidth="1"/>
    <col min="5381" max="5381" width="12.5703125" style="3" customWidth="1"/>
    <col min="5382" max="5390" width="13.42578125" style="3" customWidth="1"/>
    <col min="5391" max="5635" width="8.7109375" style="3"/>
    <col min="5636" max="5636" width="37.5703125" style="3" customWidth="1"/>
    <col min="5637" max="5637" width="12.5703125" style="3" customWidth="1"/>
    <col min="5638" max="5646" width="13.42578125" style="3" customWidth="1"/>
    <col min="5647" max="5891" width="8.7109375" style="3"/>
    <col min="5892" max="5892" width="37.5703125" style="3" customWidth="1"/>
    <col min="5893" max="5893" width="12.5703125" style="3" customWidth="1"/>
    <col min="5894" max="5902" width="13.42578125" style="3" customWidth="1"/>
    <col min="5903" max="6147" width="8.7109375" style="3"/>
    <col min="6148" max="6148" width="37.5703125" style="3" customWidth="1"/>
    <col min="6149" max="6149" width="12.5703125" style="3" customWidth="1"/>
    <col min="6150" max="6158" width="13.42578125" style="3" customWidth="1"/>
    <col min="6159" max="6403" width="8.7109375" style="3"/>
    <col min="6404" max="6404" width="37.5703125" style="3" customWidth="1"/>
    <col min="6405" max="6405" width="12.5703125" style="3" customWidth="1"/>
    <col min="6406" max="6414" width="13.42578125" style="3" customWidth="1"/>
    <col min="6415" max="6659" width="8.7109375" style="3"/>
    <col min="6660" max="6660" width="37.5703125" style="3" customWidth="1"/>
    <col min="6661" max="6661" width="12.5703125" style="3" customWidth="1"/>
    <col min="6662" max="6670" width="13.42578125" style="3" customWidth="1"/>
    <col min="6671" max="6915" width="8.7109375" style="3"/>
    <col min="6916" max="6916" width="37.5703125" style="3" customWidth="1"/>
    <col min="6917" max="6917" width="12.5703125" style="3" customWidth="1"/>
    <col min="6918" max="6926" width="13.42578125" style="3" customWidth="1"/>
    <col min="6927" max="7171" width="8.7109375" style="3"/>
    <col min="7172" max="7172" width="37.5703125" style="3" customWidth="1"/>
    <col min="7173" max="7173" width="12.5703125" style="3" customWidth="1"/>
    <col min="7174" max="7182" width="13.42578125" style="3" customWidth="1"/>
    <col min="7183" max="7427" width="8.7109375" style="3"/>
    <col min="7428" max="7428" width="37.5703125" style="3" customWidth="1"/>
    <col min="7429" max="7429" width="12.5703125" style="3" customWidth="1"/>
    <col min="7430" max="7438" width="13.42578125" style="3" customWidth="1"/>
    <col min="7439" max="7683" width="8.7109375" style="3"/>
    <col min="7684" max="7684" width="37.5703125" style="3" customWidth="1"/>
    <col min="7685" max="7685" width="12.5703125" style="3" customWidth="1"/>
    <col min="7686" max="7694" width="13.42578125" style="3" customWidth="1"/>
    <col min="7695" max="7939" width="8.7109375" style="3"/>
    <col min="7940" max="7940" width="37.5703125" style="3" customWidth="1"/>
    <col min="7941" max="7941" width="12.5703125" style="3" customWidth="1"/>
    <col min="7942" max="7950" width="13.42578125" style="3" customWidth="1"/>
    <col min="7951" max="8195" width="8.7109375" style="3"/>
    <col min="8196" max="8196" width="37.5703125" style="3" customWidth="1"/>
    <col min="8197" max="8197" width="12.5703125" style="3" customWidth="1"/>
    <col min="8198" max="8206" width="13.42578125" style="3" customWidth="1"/>
    <col min="8207" max="8451" width="8.7109375" style="3"/>
    <col min="8452" max="8452" width="37.5703125" style="3" customWidth="1"/>
    <col min="8453" max="8453" width="12.5703125" style="3" customWidth="1"/>
    <col min="8454" max="8462" width="13.42578125" style="3" customWidth="1"/>
    <col min="8463" max="8707" width="8.7109375" style="3"/>
    <col min="8708" max="8708" width="37.5703125" style="3" customWidth="1"/>
    <col min="8709" max="8709" width="12.5703125" style="3" customWidth="1"/>
    <col min="8710" max="8718" width="13.42578125" style="3" customWidth="1"/>
    <col min="8719" max="8963" width="8.7109375" style="3"/>
    <col min="8964" max="8964" width="37.5703125" style="3" customWidth="1"/>
    <col min="8965" max="8965" width="12.5703125" style="3" customWidth="1"/>
    <col min="8966" max="8974" width="13.42578125" style="3" customWidth="1"/>
    <col min="8975" max="9219" width="8.7109375" style="3"/>
    <col min="9220" max="9220" width="37.5703125" style="3" customWidth="1"/>
    <col min="9221" max="9221" width="12.5703125" style="3" customWidth="1"/>
    <col min="9222" max="9230" width="13.42578125" style="3" customWidth="1"/>
    <col min="9231" max="9475" width="8.7109375" style="3"/>
    <col min="9476" max="9476" width="37.5703125" style="3" customWidth="1"/>
    <col min="9477" max="9477" width="12.5703125" style="3" customWidth="1"/>
    <col min="9478" max="9486" width="13.42578125" style="3" customWidth="1"/>
    <col min="9487" max="9731" width="8.7109375" style="3"/>
    <col min="9732" max="9732" width="37.5703125" style="3" customWidth="1"/>
    <col min="9733" max="9733" width="12.5703125" style="3" customWidth="1"/>
    <col min="9734" max="9742" width="13.42578125" style="3" customWidth="1"/>
    <col min="9743" max="9987" width="8.7109375" style="3"/>
    <col min="9988" max="9988" width="37.5703125" style="3" customWidth="1"/>
    <col min="9989" max="9989" width="12.5703125" style="3" customWidth="1"/>
    <col min="9990" max="9998" width="13.42578125" style="3" customWidth="1"/>
    <col min="9999" max="10243" width="8.7109375" style="3"/>
    <col min="10244" max="10244" width="37.5703125" style="3" customWidth="1"/>
    <col min="10245" max="10245" width="12.5703125" style="3" customWidth="1"/>
    <col min="10246" max="10254" width="13.42578125" style="3" customWidth="1"/>
    <col min="10255" max="10499" width="8.7109375" style="3"/>
    <col min="10500" max="10500" width="37.5703125" style="3" customWidth="1"/>
    <col min="10501" max="10501" width="12.5703125" style="3" customWidth="1"/>
    <col min="10502" max="10510" width="13.42578125" style="3" customWidth="1"/>
    <col min="10511" max="10755" width="8.7109375" style="3"/>
    <col min="10756" max="10756" width="37.5703125" style="3" customWidth="1"/>
    <col min="10757" max="10757" width="12.5703125" style="3" customWidth="1"/>
    <col min="10758" max="10766" width="13.42578125" style="3" customWidth="1"/>
    <col min="10767" max="11011" width="8.7109375" style="3"/>
    <col min="11012" max="11012" width="37.5703125" style="3" customWidth="1"/>
    <col min="11013" max="11013" width="12.5703125" style="3" customWidth="1"/>
    <col min="11014" max="11022" width="13.42578125" style="3" customWidth="1"/>
    <col min="11023" max="11267" width="8.7109375" style="3"/>
    <col min="11268" max="11268" width="37.5703125" style="3" customWidth="1"/>
    <col min="11269" max="11269" width="12.5703125" style="3" customWidth="1"/>
    <col min="11270" max="11278" width="13.42578125" style="3" customWidth="1"/>
    <col min="11279" max="11523" width="8.7109375" style="3"/>
    <col min="11524" max="11524" width="37.5703125" style="3" customWidth="1"/>
    <col min="11525" max="11525" width="12.5703125" style="3" customWidth="1"/>
    <col min="11526" max="11534" width="13.42578125" style="3" customWidth="1"/>
    <col min="11535" max="11779" width="8.7109375" style="3"/>
    <col min="11780" max="11780" width="37.5703125" style="3" customWidth="1"/>
    <col min="11781" max="11781" width="12.5703125" style="3" customWidth="1"/>
    <col min="11782" max="11790" width="13.42578125" style="3" customWidth="1"/>
    <col min="11791" max="12035" width="8.7109375" style="3"/>
    <col min="12036" max="12036" width="37.5703125" style="3" customWidth="1"/>
    <col min="12037" max="12037" width="12.5703125" style="3" customWidth="1"/>
    <col min="12038" max="12046" width="13.42578125" style="3" customWidth="1"/>
    <col min="12047" max="12291" width="8.7109375" style="3"/>
    <col min="12292" max="12292" width="37.5703125" style="3" customWidth="1"/>
    <col min="12293" max="12293" width="12.5703125" style="3" customWidth="1"/>
    <col min="12294" max="12302" width="13.42578125" style="3" customWidth="1"/>
    <col min="12303" max="12547" width="8.7109375" style="3"/>
    <col min="12548" max="12548" width="37.5703125" style="3" customWidth="1"/>
    <col min="12549" max="12549" width="12.5703125" style="3" customWidth="1"/>
    <col min="12550" max="12558" width="13.42578125" style="3" customWidth="1"/>
    <col min="12559" max="12803" width="8.7109375" style="3"/>
    <col min="12804" max="12804" width="37.5703125" style="3" customWidth="1"/>
    <col min="12805" max="12805" width="12.5703125" style="3" customWidth="1"/>
    <col min="12806" max="12814" width="13.42578125" style="3" customWidth="1"/>
    <col min="12815" max="13059" width="8.7109375" style="3"/>
    <col min="13060" max="13060" width="37.5703125" style="3" customWidth="1"/>
    <col min="13061" max="13061" width="12.5703125" style="3" customWidth="1"/>
    <col min="13062" max="13070" width="13.42578125" style="3" customWidth="1"/>
    <col min="13071" max="13315" width="8.7109375" style="3"/>
    <col min="13316" max="13316" width="37.5703125" style="3" customWidth="1"/>
    <col min="13317" max="13317" width="12.5703125" style="3" customWidth="1"/>
    <col min="13318" max="13326" width="13.42578125" style="3" customWidth="1"/>
    <col min="13327" max="13571" width="8.7109375" style="3"/>
    <col min="13572" max="13572" width="37.5703125" style="3" customWidth="1"/>
    <col min="13573" max="13573" width="12.5703125" style="3" customWidth="1"/>
    <col min="13574" max="13582" width="13.42578125" style="3" customWidth="1"/>
    <col min="13583" max="13827" width="8.7109375" style="3"/>
    <col min="13828" max="13828" width="37.5703125" style="3" customWidth="1"/>
    <col min="13829" max="13829" width="12.5703125" style="3" customWidth="1"/>
    <col min="13830" max="13838" width="13.42578125" style="3" customWidth="1"/>
    <col min="13839" max="14083" width="8.7109375" style="3"/>
    <col min="14084" max="14084" width="37.5703125" style="3" customWidth="1"/>
    <col min="14085" max="14085" width="12.5703125" style="3" customWidth="1"/>
    <col min="14086" max="14094" width="13.42578125" style="3" customWidth="1"/>
    <col min="14095" max="14339" width="8.7109375" style="3"/>
    <col min="14340" max="14340" width="37.5703125" style="3" customWidth="1"/>
    <col min="14341" max="14341" width="12.5703125" style="3" customWidth="1"/>
    <col min="14342" max="14350" width="13.42578125" style="3" customWidth="1"/>
    <col min="14351" max="14595" width="8.7109375" style="3"/>
    <col min="14596" max="14596" width="37.5703125" style="3" customWidth="1"/>
    <col min="14597" max="14597" width="12.5703125" style="3" customWidth="1"/>
    <col min="14598" max="14606" width="13.42578125" style="3" customWidth="1"/>
    <col min="14607" max="14851" width="8.7109375" style="3"/>
    <col min="14852" max="14852" width="37.5703125" style="3" customWidth="1"/>
    <col min="14853" max="14853" width="12.5703125" style="3" customWidth="1"/>
    <col min="14854" max="14862" width="13.42578125" style="3" customWidth="1"/>
    <col min="14863" max="15107" width="8.7109375" style="3"/>
    <col min="15108" max="15108" width="37.5703125" style="3" customWidth="1"/>
    <col min="15109" max="15109" width="12.5703125" style="3" customWidth="1"/>
    <col min="15110" max="15118" width="13.42578125" style="3" customWidth="1"/>
    <col min="15119" max="15363" width="8.7109375" style="3"/>
    <col min="15364" max="15364" width="37.5703125" style="3" customWidth="1"/>
    <col min="15365" max="15365" width="12.5703125" style="3" customWidth="1"/>
    <col min="15366" max="15374" width="13.42578125" style="3" customWidth="1"/>
    <col min="15375" max="15619" width="8.7109375" style="3"/>
    <col min="15620" max="15620" width="37.5703125" style="3" customWidth="1"/>
    <col min="15621" max="15621" width="12.5703125" style="3" customWidth="1"/>
    <col min="15622" max="15630" width="13.42578125" style="3" customWidth="1"/>
    <col min="15631" max="15875" width="8.7109375" style="3"/>
    <col min="15876" max="15876" width="37.5703125" style="3" customWidth="1"/>
    <col min="15877" max="15877" width="12.5703125" style="3" customWidth="1"/>
    <col min="15878" max="15886" width="13.42578125" style="3" customWidth="1"/>
    <col min="15887" max="16131" width="8.7109375" style="3"/>
    <col min="16132" max="16132" width="37.5703125" style="3" customWidth="1"/>
    <col min="16133" max="16133" width="12.5703125" style="3" customWidth="1"/>
    <col min="16134" max="16142" width="13.42578125" style="3" customWidth="1"/>
    <col min="16143" max="16384" width="8.7109375" style="3"/>
  </cols>
  <sheetData>
    <row r="1" spans="1:21" ht="32.25">
      <c r="A1" s="1" t="s">
        <v>433</v>
      </c>
      <c r="B1" s="2"/>
      <c r="C1" s="2"/>
      <c r="D1" s="2"/>
      <c r="E1" s="2"/>
      <c r="F1" s="2"/>
      <c r="G1" s="2"/>
      <c r="H1" s="2"/>
      <c r="I1" s="2"/>
      <c r="J1" s="2"/>
      <c r="K1" s="2"/>
      <c r="L1" s="2"/>
      <c r="M1" s="2"/>
      <c r="N1" s="1"/>
      <c r="O1" s="1"/>
      <c r="P1" s="2"/>
      <c r="Q1" s="2"/>
      <c r="R1" s="2"/>
      <c r="S1" s="2"/>
      <c r="T1" s="2"/>
    </row>
    <row r="2" spans="1:21" s="13" customFormat="1" ht="21.6" customHeight="1">
      <c r="A2" s="4" t="s">
        <v>429</v>
      </c>
      <c r="B2" s="4"/>
      <c r="C2" s="4"/>
      <c r="D2" s="4"/>
      <c r="E2" s="4"/>
      <c r="F2" s="4"/>
      <c r="G2" s="4"/>
      <c r="H2" s="4"/>
      <c r="I2" s="4"/>
      <c r="J2" s="4"/>
      <c r="K2" s="4"/>
      <c r="L2" s="4"/>
      <c r="M2" s="4"/>
      <c r="N2" s="4"/>
      <c r="O2" s="4"/>
      <c r="P2" s="4"/>
      <c r="Q2" s="4"/>
      <c r="R2" s="4"/>
      <c r="S2" s="4"/>
      <c r="T2" s="4"/>
      <c r="U2" s="3"/>
    </row>
    <row r="3" spans="1:21" s="13" customFormat="1">
      <c r="R3" s="3"/>
      <c r="S3" s="3"/>
      <c r="T3" s="3"/>
      <c r="U3" s="3"/>
    </row>
    <row r="5" spans="1:21" ht="23.25">
      <c r="A5" s="10" t="s">
        <v>394</v>
      </c>
      <c r="B5" s="10"/>
    </row>
    <row r="6" spans="1:21">
      <c r="A6" t="s">
        <v>430</v>
      </c>
      <c r="B6" s="294">
        <v>550000</v>
      </c>
    </row>
    <row r="7" spans="1:21">
      <c r="A7" t="s">
        <v>431</v>
      </c>
      <c r="B7" s="294">
        <v>1000000</v>
      </c>
    </row>
    <row r="8" spans="1:21">
      <c r="A8" t="s">
        <v>432</v>
      </c>
      <c r="B8" s="294">
        <f>B6-B7</f>
        <v>-450000</v>
      </c>
    </row>
    <row r="11" spans="1:21" ht="23.25">
      <c r="A11" s="10" t="s">
        <v>435</v>
      </c>
      <c r="B11" s="10"/>
      <c r="C11" s="10"/>
      <c r="D11" s="10"/>
    </row>
    <row r="12" spans="1:21">
      <c r="A12" s="153" t="s">
        <v>436</v>
      </c>
      <c r="B12" s="311" t="s">
        <v>437</v>
      </c>
      <c r="C12" s="311" t="s">
        <v>438</v>
      </c>
      <c r="D12" s="311" t="s">
        <v>440</v>
      </c>
    </row>
    <row r="13" spans="1:21">
      <c r="A13" t="s">
        <v>434</v>
      </c>
      <c r="B13" s="310">
        <v>2.5000000000000001E-2</v>
      </c>
      <c r="C13" s="310">
        <v>0</v>
      </c>
      <c r="D13" s="312">
        <v>0.01</v>
      </c>
    </row>
    <row r="14" spans="1:21">
      <c r="A14" t="s">
        <v>439</v>
      </c>
      <c r="B14" s="310">
        <v>2.3E-2</v>
      </c>
      <c r="C14" s="310">
        <v>7.4999999999999997E-3</v>
      </c>
      <c r="D14" s="312">
        <v>0.01</v>
      </c>
    </row>
    <row r="15" spans="1:21">
      <c r="A15" t="s">
        <v>441</v>
      </c>
      <c r="B15" s="310">
        <v>3.3000000000000002E-2</v>
      </c>
      <c r="C15" s="310">
        <v>7.4999999999999997E-3</v>
      </c>
      <c r="D15" s="312">
        <v>0.01</v>
      </c>
    </row>
    <row r="16" spans="1:21">
      <c r="A16" t="s">
        <v>453</v>
      </c>
      <c r="B16" s="310">
        <f>B13</f>
        <v>2.5000000000000001E-2</v>
      </c>
    </row>
    <row r="18" spans="1:9" ht="23.25">
      <c r="A18" s="10" t="s">
        <v>442</v>
      </c>
      <c r="B18" s="10"/>
      <c r="C18" s="10"/>
    </row>
    <row r="19" spans="1:9">
      <c r="A19" s="153"/>
      <c r="B19" s="311" t="s">
        <v>449</v>
      </c>
      <c r="C19" s="311" t="s">
        <v>438</v>
      </c>
    </row>
    <row r="20" spans="1:9">
      <c r="A20" t="s">
        <v>443</v>
      </c>
      <c r="B20" s="294">
        <f>-ass_irr/D13</f>
        <v>45000000</v>
      </c>
      <c r="C20" s="294">
        <f>B20*C13</f>
        <v>0</v>
      </c>
    </row>
    <row r="21" spans="1:9">
      <c r="A21" t="s">
        <v>444</v>
      </c>
      <c r="B21" s="294">
        <f>-ass_irr/$D$14</f>
        <v>45000000</v>
      </c>
      <c r="C21" s="294">
        <f>B21*C14</f>
        <v>337500</v>
      </c>
    </row>
    <row r="22" spans="1:9">
      <c r="A22" t="s">
        <v>441</v>
      </c>
      <c r="B22" s="294">
        <v>-45000000</v>
      </c>
      <c r="C22" s="294">
        <f>B22*C15</f>
        <v>-337500</v>
      </c>
    </row>
    <row r="23" spans="1:9">
      <c r="A23" t="s">
        <v>452</v>
      </c>
      <c r="B23" s="294"/>
      <c r="C23" s="294">
        <f>SUM(C21:C22)</f>
        <v>0</v>
      </c>
    </row>
    <row r="24" spans="1:9">
      <c r="A24"/>
      <c r="B24" s="294"/>
      <c r="C24" s="294"/>
    </row>
    <row r="30" spans="1:9">
      <c r="A30" s="313"/>
      <c r="B30" s="314"/>
      <c r="E30" s="314"/>
      <c r="F30" s="314"/>
      <c r="G30" s="314"/>
      <c r="H30" s="314"/>
      <c r="I30" s="314"/>
    </row>
    <row r="31" spans="1:9">
      <c r="A31" s="313"/>
      <c r="B31" s="314"/>
      <c r="E31" s="314"/>
      <c r="F31" s="314"/>
      <c r="G31" s="314"/>
      <c r="H31" s="314"/>
      <c r="I31" s="314"/>
    </row>
    <row r="32" spans="1:9">
      <c r="A32" s="313"/>
      <c r="B32" s="314"/>
      <c r="E32" s="314"/>
      <c r="F32" s="314"/>
      <c r="G32" s="314"/>
      <c r="H32" s="314"/>
      <c r="I32" s="314"/>
    </row>
    <row r="33" spans="1:9">
      <c r="A33" s="313"/>
      <c r="B33" s="314"/>
      <c r="E33" s="314"/>
      <c r="F33" s="314"/>
      <c r="G33" s="314"/>
      <c r="H33" s="314"/>
      <c r="I33" s="314"/>
    </row>
    <row r="34" spans="1:9">
      <c r="A34" s="313"/>
      <c r="B34" s="314"/>
      <c r="E34" s="314"/>
      <c r="F34" s="314"/>
      <c r="G34" s="314"/>
      <c r="H34" s="314"/>
      <c r="I34" s="314"/>
    </row>
    <row r="35" spans="1:9">
      <c r="A35" s="313"/>
      <c r="B35" s="314"/>
      <c r="E35" s="314"/>
      <c r="F35" s="314"/>
      <c r="G35" s="314"/>
      <c r="H35" s="314"/>
      <c r="I35" s="314"/>
    </row>
    <row r="36" spans="1:9">
      <c r="A36" s="313"/>
      <c r="B36" s="314"/>
      <c r="E36" s="314"/>
      <c r="F36" s="314"/>
      <c r="G36" s="314"/>
      <c r="H36" s="314"/>
      <c r="I36" s="314"/>
    </row>
    <row r="37" spans="1:9">
      <c r="A37" s="313"/>
      <c r="B37" s="314"/>
      <c r="E37" s="314"/>
      <c r="F37" s="314"/>
      <c r="G37" s="314"/>
      <c r="H37" s="314"/>
      <c r="I37" s="314"/>
    </row>
    <row r="38" spans="1:9">
      <c r="A38" s="313"/>
      <c r="B38" s="314"/>
      <c r="E38" s="314"/>
      <c r="F38" s="314"/>
      <c r="G38" s="314"/>
      <c r="H38" s="314"/>
      <c r="I38" s="314"/>
    </row>
    <row r="39" spans="1:9">
      <c r="A39" s="313"/>
      <c r="B39" s="314"/>
      <c r="E39" s="314"/>
      <c r="F39" s="314"/>
      <c r="G39" s="314"/>
      <c r="H39" s="314"/>
      <c r="I39" s="314"/>
    </row>
    <row r="40" spans="1:9">
      <c r="A40" s="313"/>
      <c r="B40" s="314"/>
      <c r="E40" s="314"/>
      <c r="F40" s="314"/>
      <c r="G40" s="314"/>
      <c r="H40" s="314"/>
      <c r="I40" s="314"/>
    </row>
    <row r="41" spans="1:9">
      <c r="A41" s="313"/>
      <c r="B41" s="314"/>
      <c r="E41" s="314"/>
      <c r="F41" s="314"/>
      <c r="G41" s="314"/>
      <c r="H41" s="314"/>
      <c r="I41" s="314"/>
    </row>
    <row r="42" spans="1:9">
      <c r="A42" s="313"/>
      <c r="B42" s="314"/>
      <c r="E42" s="314"/>
      <c r="F42" s="314"/>
      <c r="G42" s="314"/>
      <c r="H42" s="314"/>
      <c r="I42" s="314"/>
    </row>
    <row r="43" spans="1:9">
      <c r="A43" s="313"/>
      <c r="B43" s="314"/>
      <c r="E43" s="314"/>
      <c r="F43" s="314"/>
      <c r="G43" s="314"/>
      <c r="H43" s="314"/>
      <c r="I43" s="314"/>
    </row>
    <row r="44" spans="1:9">
      <c r="A44" s="313"/>
      <c r="B44" s="314"/>
      <c r="E44" s="314"/>
      <c r="F44" s="314"/>
      <c r="G44" s="314"/>
      <c r="H44" s="314"/>
      <c r="I44" s="314"/>
    </row>
    <row r="45" spans="1:9">
      <c r="A45" s="313"/>
      <c r="B45" s="314"/>
      <c r="E45" s="314"/>
      <c r="F45" s="314"/>
      <c r="G45" s="314"/>
      <c r="H45" s="314"/>
      <c r="I45" s="314"/>
    </row>
    <row r="46" spans="1:9">
      <c r="A46" s="313"/>
      <c r="B46" s="314"/>
      <c r="E46" s="314"/>
      <c r="F46" s="314"/>
      <c r="G46" s="314"/>
      <c r="H46" s="314"/>
      <c r="I46" s="314"/>
    </row>
    <row r="47" spans="1:9">
      <c r="A47" s="313"/>
      <c r="B47" s="314"/>
      <c r="E47" s="314"/>
      <c r="F47" s="314"/>
      <c r="G47" s="314"/>
      <c r="H47" s="314"/>
      <c r="I47" s="314"/>
    </row>
    <row r="48" spans="1:9">
      <c r="A48" s="313"/>
      <c r="B48" s="314"/>
      <c r="E48" s="314"/>
      <c r="F48" s="314"/>
      <c r="G48" s="314"/>
      <c r="H48" s="314"/>
      <c r="I48" s="314"/>
    </row>
    <row r="49" spans="1:9">
      <c r="A49" s="313"/>
      <c r="B49" s="314"/>
      <c r="E49" s="314"/>
      <c r="F49" s="314"/>
      <c r="G49" s="314"/>
      <c r="H49" s="314"/>
      <c r="I49" s="314"/>
    </row>
    <row r="50" spans="1:9">
      <c r="A50" s="313"/>
      <c r="B50" s="314"/>
      <c r="E50" s="314"/>
      <c r="F50" s="314"/>
      <c r="G50" s="314"/>
      <c r="H50" s="314"/>
      <c r="I50" s="314"/>
    </row>
    <row r="51" spans="1:9">
      <c r="A51" s="313"/>
      <c r="B51" s="314"/>
      <c r="E51" s="314"/>
      <c r="F51" s="314"/>
      <c r="G51" s="314"/>
      <c r="H51" s="314"/>
      <c r="I51" s="314"/>
    </row>
    <row r="52" spans="1:9">
      <c r="A52" s="313"/>
      <c r="B52" s="314"/>
      <c r="E52" s="314"/>
      <c r="F52" s="314"/>
      <c r="G52" s="314"/>
      <c r="H52" s="314"/>
      <c r="I52" s="314"/>
    </row>
  </sheetData>
  <pageMargins left="0.7" right="0.7" top="0.75" bottom="0.75" header="0.3" footer="0.3"/>
  <pageSetup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B6112-CCBA-466C-913A-3628356A1F16}">
  <sheetPr codeName="Sheet41">
    <tabColor theme="5" tint="0.39997558519241921"/>
  </sheetPr>
  <dimension ref="A1:U52"/>
  <sheetViews>
    <sheetView zoomScale="90" zoomScaleNormal="90" workbookViewId="0">
      <selection activeCell="K28" sqref="K28"/>
    </sheetView>
  </sheetViews>
  <sheetFormatPr defaultRowHeight="15"/>
  <cols>
    <col min="1" max="1" width="20.28515625" style="3" customWidth="1"/>
    <col min="2" max="2" width="17.5703125" style="3" customWidth="1"/>
    <col min="3" max="3" width="17.140625" style="3" customWidth="1"/>
    <col min="4" max="4" width="15.42578125" style="3" customWidth="1"/>
    <col min="5" max="5" width="16.42578125" style="3" bestFit="1" customWidth="1"/>
    <col min="6" max="6" width="16.42578125" style="3" customWidth="1"/>
    <col min="7" max="7" width="24.85546875" style="3" bestFit="1" customWidth="1"/>
    <col min="8" max="8" width="22" style="3" bestFit="1" customWidth="1"/>
    <col min="9" max="9" width="14.85546875" style="3" customWidth="1"/>
    <col min="10" max="10" width="14.5703125" style="3" bestFit="1" customWidth="1"/>
    <col min="11" max="11" width="15" style="3" bestFit="1" customWidth="1"/>
    <col min="12" max="12" width="11.140625" style="3" bestFit="1" customWidth="1"/>
    <col min="13" max="13" width="12.140625" style="3" bestFit="1" customWidth="1"/>
    <col min="14" max="14" width="13.85546875" style="3" bestFit="1" customWidth="1"/>
    <col min="15" max="15" width="16.7109375" style="3" bestFit="1" customWidth="1"/>
    <col min="16" max="16" width="13.42578125" style="3" bestFit="1" customWidth="1"/>
    <col min="17" max="17" width="8.7109375" style="3"/>
    <col min="18" max="18" width="11.28515625" style="3" bestFit="1" customWidth="1"/>
    <col min="19" max="19" width="11.5703125" style="3" bestFit="1" customWidth="1"/>
    <col min="20" max="259" width="8.7109375" style="3"/>
    <col min="260" max="260" width="37.5703125" style="3" customWidth="1"/>
    <col min="261" max="261" width="12.5703125" style="3" customWidth="1"/>
    <col min="262" max="270" width="13.42578125" style="3" customWidth="1"/>
    <col min="271" max="515" width="8.7109375" style="3"/>
    <col min="516" max="516" width="37.5703125" style="3" customWidth="1"/>
    <col min="517" max="517" width="12.5703125" style="3" customWidth="1"/>
    <col min="518" max="526" width="13.42578125" style="3" customWidth="1"/>
    <col min="527" max="771" width="8.7109375" style="3"/>
    <col min="772" max="772" width="37.5703125" style="3" customWidth="1"/>
    <col min="773" max="773" width="12.5703125" style="3" customWidth="1"/>
    <col min="774" max="782" width="13.42578125" style="3" customWidth="1"/>
    <col min="783" max="1027" width="8.7109375" style="3"/>
    <col min="1028" max="1028" width="37.5703125" style="3" customWidth="1"/>
    <col min="1029" max="1029" width="12.5703125" style="3" customWidth="1"/>
    <col min="1030" max="1038" width="13.42578125" style="3" customWidth="1"/>
    <col min="1039" max="1283" width="8.7109375" style="3"/>
    <col min="1284" max="1284" width="37.5703125" style="3" customWidth="1"/>
    <col min="1285" max="1285" width="12.5703125" style="3" customWidth="1"/>
    <col min="1286" max="1294" width="13.42578125" style="3" customWidth="1"/>
    <col min="1295" max="1539" width="8.7109375" style="3"/>
    <col min="1540" max="1540" width="37.5703125" style="3" customWidth="1"/>
    <col min="1541" max="1541" width="12.5703125" style="3" customWidth="1"/>
    <col min="1542" max="1550" width="13.42578125" style="3" customWidth="1"/>
    <col min="1551" max="1795" width="8.7109375" style="3"/>
    <col min="1796" max="1796" width="37.5703125" style="3" customWidth="1"/>
    <col min="1797" max="1797" width="12.5703125" style="3" customWidth="1"/>
    <col min="1798" max="1806" width="13.42578125" style="3" customWidth="1"/>
    <col min="1807" max="2051" width="8.7109375" style="3"/>
    <col min="2052" max="2052" width="37.5703125" style="3" customWidth="1"/>
    <col min="2053" max="2053" width="12.5703125" style="3" customWidth="1"/>
    <col min="2054" max="2062" width="13.42578125" style="3" customWidth="1"/>
    <col min="2063" max="2307" width="8.7109375" style="3"/>
    <col min="2308" max="2308" width="37.5703125" style="3" customWidth="1"/>
    <col min="2309" max="2309" width="12.5703125" style="3" customWidth="1"/>
    <col min="2310" max="2318" width="13.42578125" style="3" customWidth="1"/>
    <col min="2319" max="2563" width="8.7109375" style="3"/>
    <col min="2564" max="2564" width="37.5703125" style="3" customWidth="1"/>
    <col min="2565" max="2565" width="12.5703125" style="3" customWidth="1"/>
    <col min="2566" max="2574" width="13.42578125" style="3" customWidth="1"/>
    <col min="2575" max="2819" width="8.7109375" style="3"/>
    <col min="2820" max="2820" width="37.5703125" style="3" customWidth="1"/>
    <col min="2821" max="2821" width="12.5703125" style="3" customWidth="1"/>
    <col min="2822" max="2830" width="13.42578125" style="3" customWidth="1"/>
    <col min="2831" max="3075" width="8.7109375" style="3"/>
    <col min="3076" max="3076" width="37.5703125" style="3" customWidth="1"/>
    <col min="3077" max="3077" width="12.5703125" style="3" customWidth="1"/>
    <col min="3078" max="3086" width="13.42578125" style="3" customWidth="1"/>
    <col min="3087" max="3331" width="8.7109375" style="3"/>
    <col min="3332" max="3332" width="37.5703125" style="3" customWidth="1"/>
    <col min="3333" max="3333" width="12.5703125" style="3" customWidth="1"/>
    <col min="3334" max="3342" width="13.42578125" style="3" customWidth="1"/>
    <col min="3343" max="3587" width="8.7109375" style="3"/>
    <col min="3588" max="3588" width="37.5703125" style="3" customWidth="1"/>
    <col min="3589" max="3589" width="12.5703125" style="3" customWidth="1"/>
    <col min="3590" max="3598" width="13.42578125" style="3" customWidth="1"/>
    <col min="3599" max="3843" width="8.7109375" style="3"/>
    <col min="3844" max="3844" width="37.5703125" style="3" customWidth="1"/>
    <col min="3845" max="3845" width="12.5703125" style="3" customWidth="1"/>
    <col min="3846" max="3854" width="13.42578125" style="3" customWidth="1"/>
    <col min="3855" max="4099" width="8.7109375" style="3"/>
    <col min="4100" max="4100" width="37.5703125" style="3" customWidth="1"/>
    <col min="4101" max="4101" width="12.5703125" style="3" customWidth="1"/>
    <col min="4102" max="4110" width="13.42578125" style="3" customWidth="1"/>
    <col min="4111" max="4355" width="8.7109375" style="3"/>
    <col min="4356" max="4356" width="37.5703125" style="3" customWidth="1"/>
    <col min="4357" max="4357" width="12.5703125" style="3" customWidth="1"/>
    <col min="4358" max="4366" width="13.42578125" style="3" customWidth="1"/>
    <col min="4367" max="4611" width="8.7109375" style="3"/>
    <col min="4612" max="4612" width="37.5703125" style="3" customWidth="1"/>
    <col min="4613" max="4613" width="12.5703125" style="3" customWidth="1"/>
    <col min="4614" max="4622" width="13.42578125" style="3" customWidth="1"/>
    <col min="4623" max="4867" width="8.7109375" style="3"/>
    <col min="4868" max="4868" width="37.5703125" style="3" customWidth="1"/>
    <col min="4869" max="4869" width="12.5703125" style="3" customWidth="1"/>
    <col min="4870" max="4878" width="13.42578125" style="3" customWidth="1"/>
    <col min="4879" max="5123" width="8.7109375" style="3"/>
    <col min="5124" max="5124" width="37.5703125" style="3" customWidth="1"/>
    <col min="5125" max="5125" width="12.5703125" style="3" customWidth="1"/>
    <col min="5126" max="5134" width="13.42578125" style="3" customWidth="1"/>
    <col min="5135" max="5379" width="8.7109375" style="3"/>
    <col min="5380" max="5380" width="37.5703125" style="3" customWidth="1"/>
    <col min="5381" max="5381" width="12.5703125" style="3" customWidth="1"/>
    <col min="5382" max="5390" width="13.42578125" style="3" customWidth="1"/>
    <col min="5391" max="5635" width="8.7109375" style="3"/>
    <col min="5636" max="5636" width="37.5703125" style="3" customWidth="1"/>
    <col min="5637" max="5637" width="12.5703125" style="3" customWidth="1"/>
    <col min="5638" max="5646" width="13.42578125" style="3" customWidth="1"/>
    <col min="5647" max="5891" width="8.7109375" style="3"/>
    <col min="5892" max="5892" width="37.5703125" style="3" customWidth="1"/>
    <col min="5893" max="5893" width="12.5703125" style="3" customWidth="1"/>
    <col min="5894" max="5902" width="13.42578125" style="3" customWidth="1"/>
    <col min="5903" max="6147" width="8.7109375" style="3"/>
    <col min="6148" max="6148" width="37.5703125" style="3" customWidth="1"/>
    <col min="6149" max="6149" width="12.5703125" style="3" customWidth="1"/>
    <col min="6150" max="6158" width="13.42578125" style="3" customWidth="1"/>
    <col min="6159" max="6403" width="8.7109375" style="3"/>
    <col min="6404" max="6404" width="37.5703125" style="3" customWidth="1"/>
    <col min="6405" max="6405" width="12.5703125" style="3" customWidth="1"/>
    <col min="6406" max="6414" width="13.42578125" style="3" customWidth="1"/>
    <col min="6415" max="6659" width="8.7109375" style="3"/>
    <col min="6660" max="6660" width="37.5703125" style="3" customWidth="1"/>
    <col min="6661" max="6661" width="12.5703125" style="3" customWidth="1"/>
    <col min="6662" max="6670" width="13.42578125" style="3" customWidth="1"/>
    <col min="6671" max="6915" width="8.7109375" style="3"/>
    <col min="6916" max="6916" width="37.5703125" style="3" customWidth="1"/>
    <col min="6917" max="6917" width="12.5703125" style="3" customWidth="1"/>
    <col min="6918" max="6926" width="13.42578125" style="3" customWidth="1"/>
    <col min="6927" max="7171" width="8.7109375" style="3"/>
    <col min="7172" max="7172" width="37.5703125" style="3" customWidth="1"/>
    <col min="7173" max="7173" width="12.5703125" style="3" customWidth="1"/>
    <col min="7174" max="7182" width="13.42578125" style="3" customWidth="1"/>
    <col min="7183" max="7427" width="8.7109375" style="3"/>
    <col min="7428" max="7428" width="37.5703125" style="3" customWidth="1"/>
    <col min="7429" max="7429" width="12.5703125" style="3" customWidth="1"/>
    <col min="7430" max="7438" width="13.42578125" style="3" customWidth="1"/>
    <col min="7439" max="7683" width="8.7109375" style="3"/>
    <col min="7684" max="7684" width="37.5703125" style="3" customWidth="1"/>
    <col min="7685" max="7685" width="12.5703125" style="3" customWidth="1"/>
    <col min="7686" max="7694" width="13.42578125" style="3" customWidth="1"/>
    <col min="7695" max="7939" width="8.7109375" style="3"/>
    <col min="7940" max="7940" width="37.5703125" style="3" customWidth="1"/>
    <col min="7941" max="7941" width="12.5703125" style="3" customWidth="1"/>
    <col min="7942" max="7950" width="13.42578125" style="3" customWidth="1"/>
    <col min="7951" max="8195" width="8.7109375" style="3"/>
    <col min="8196" max="8196" width="37.5703125" style="3" customWidth="1"/>
    <col min="8197" max="8197" width="12.5703125" style="3" customWidth="1"/>
    <col min="8198" max="8206" width="13.42578125" style="3" customWidth="1"/>
    <col min="8207" max="8451" width="8.7109375" style="3"/>
    <col min="8452" max="8452" width="37.5703125" style="3" customWidth="1"/>
    <col min="8453" max="8453" width="12.5703125" style="3" customWidth="1"/>
    <col min="8454" max="8462" width="13.42578125" style="3" customWidth="1"/>
    <col min="8463" max="8707" width="8.7109375" style="3"/>
    <col min="8708" max="8708" width="37.5703125" style="3" customWidth="1"/>
    <col min="8709" max="8709" width="12.5703125" style="3" customWidth="1"/>
    <col min="8710" max="8718" width="13.42578125" style="3" customWidth="1"/>
    <col min="8719" max="8963" width="8.7109375" style="3"/>
    <col min="8964" max="8964" width="37.5703125" style="3" customWidth="1"/>
    <col min="8965" max="8965" width="12.5703125" style="3" customWidth="1"/>
    <col min="8966" max="8974" width="13.42578125" style="3" customWidth="1"/>
    <col min="8975" max="9219" width="8.7109375" style="3"/>
    <col min="9220" max="9220" width="37.5703125" style="3" customWidth="1"/>
    <col min="9221" max="9221" width="12.5703125" style="3" customWidth="1"/>
    <col min="9222" max="9230" width="13.42578125" style="3" customWidth="1"/>
    <col min="9231" max="9475" width="8.7109375" style="3"/>
    <col min="9476" max="9476" width="37.5703125" style="3" customWidth="1"/>
    <col min="9477" max="9477" width="12.5703125" style="3" customWidth="1"/>
    <col min="9478" max="9486" width="13.42578125" style="3" customWidth="1"/>
    <col min="9487" max="9731" width="8.7109375" style="3"/>
    <col min="9732" max="9732" width="37.5703125" style="3" customWidth="1"/>
    <col min="9733" max="9733" width="12.5703125" style="3" customWidth="1"/>
    <col min="9734" max="9742" width="13.42578125" style="3" customWidth="1"/>
    <col min="9743" max="9987" width="8.7109375" style="3"/>
    <col min="9988" max="9988" width="37.5703125" style="3" customWidth="1"/>
    <col min="9989" max="9989" width="12.5703125" style="3" customWidth="1"/>
    <col min="9990" max="9998" width="13.42578125" style="3" customWidth="1"/>
    <col min="9999" max="10243" width="8.7109375" style="3"/>
    <col min="10244" max="10244" width="37.5703125" style="3" customWidth="1"/>
    <col min="10245" max="10245" width="12.5703125" style="3" customWidth="1"/>
    <col min="10246" max="10254" width="13.42578125" style="3" customWidth="1"/>
    <col min="10255" max="10499" width="8.7109375" style="3"/>
    <col min="10500" max="10500" width="37.5703125" style="3" customWidth="1"/>
    <col min="10501" max="10501" width="12.5703125" style="3" customWidth="1"/>
    <col min="10502" max="10510" width="13.42578125" style="3" customWidth="1"/>
    <col min="10511" max="10755" width="8.7109375" style="3"/>
    <col min="10756" max="10756" width="37.5703125" style="3" customWidth="1"/>
    <col min="10757" max="10757" width="12.5703125" style="3" customWidth="1"/>
    <col min="10758" max="10766" width="13.42578125" style="3" customWidth="1"/>
    <col min="10767" max="11011" width="8.7109375" style="3"/>
    <col min="11012" max="11012" width="37.5703125" style="3" customWidth="1"/>
    <col min="11013" max="11013" width="12.5703125" style="3" customWidth="1"/>
    <col min="11014" max="11022" width="13.42578125" style="3" customWidth="1"/>
    <col min="11023" max="11267" width="8.7109375" style="3"/>
    <col min="11268" max="11268" width="37.5703125" style="3" customWidth="1"/>
    <col min="11269" max="11269" width="12.5703125" style="3" customWidth="1"/>
    <col min="11270" max="11278" width="13.42578125" style="3" customWidth="1"/>
    <col min="11279" max="11523" width="8.7109375" style="3"/>
    <col min="11524" max="11524" width="37.5703125" style="3" customWidth="1"/>
    <col min="11525" max="11525" width="12.5703125" style="3" customWidth="1"/>
    <col min="11526" max="11534" width="13.42578125" style="3" customWidth="1"/>
    <col min="11535" max="11779" width="8.7109375" style="3"/>
    <col min="11780" max="11780" width="37.5703125" style="3" customWidth="1"/>
    <col min="11781" max="11781" width="12.5703125" style="3" customWidth="1"/>
    <col min="11782" max="11790" width="13.42578125" style="3" customWidth="1"/>
    <col min="11791" max="12035" width="8.7109375" style="3"/>
    <col min="12036" max="12036" width="37.5703125" style="3" customWidth="1"/>
    <col min="12037" max="12037" width="12.5703125" style="3" customWidth="1"/>
    <col min="12038" max="12046" width="13.42578125" style="3" customWidth="1"/>
    <col min="12047" max="12291" width="8.7109375" style="3"/>
    <col min="12292" max="12292" width="37.5703125" style="3" customWidth="1"/>
    <col min="12293" max="12293" width="12.5703125" style="3" customWidth="1"/>
    <col min="12294" max="12302" width="13.42578125" style="3" customWidth="1"/>
    <col min="12303" max="12547" width="8.7109375" style="3"/>
    <col min="12548" max="12548" width="37.5703125" style="3" customWidth="1"/>
    <col min="12549" max="12549" width="12.5703125" style="3" customWidth="1"/>
    <col min="12550" max="12558" width="13.42578125" style="3" customWidth="1"/>
    <col min="12559" max="12803" width="8.7109375" style="3"/>
    <col min="12804" max="12804" width="37.5703125" style="3" customWidth="1"/>
    <col min="12805" max="12805" width="12.5703125" style="3" customWidth="1"/>
    <col min="12806" max="12814" width="13.42578125" style="3" customWidth="1"/>
    <col min="12815" max="13059" width="8.7109375" style="3"/>
    <col min="13060" max="13060" width="37.5703125" style="3" customWidth="1"/>
    <col min="13061" max="13061" width="12.5703125" style="3" customWidth="1"/>
    <col min="13062" max="13070" width="13.42578125" style="3" customWidth="1"/>
    <col min="13071" max="13315" width="8.7109375" style="3"/>
    <col min="13316" max="13316" width="37.5703125" style="3" customWidth="1"/>
    <col min="13317" max="13317" width="12.5703125" style="3" customWidth="1"/>
    <col min="13318" max="13326" width="13.42578125" style="3" customWidth="1"/>
    <col min="13327" max="13571" width="8.7109375" style="3"/>
    <col min="13572" max="13572" width="37.5703125" style="3" customWidth="1"/>
    <col min="13573" max="13573" width="12.5703125" style="3" customWidth="1"/>
    <col min="13574" max="13582" width="13.42578125" style="3" customWidth="1"/>
    <col min="13583" max="13827" width="8.7109375" style="3"/>
    <col min="13828" max="13828" width="37.5703125" style="3" customWidth="1"/>
    <col min="13829" max="13829" width="12.5703125" style="3" customWidth="1"/>
    <col min="13830" max="13838" width="13.42578125" style="3" customWidth="1"/>
    <col min="13839" max="14083" width="8.7109375" style="3"/>
    <col min="14084" max="14084" width="37.5703125" style="3" customWidth="1"/>
    <col min="14085" max="14085" width="12.5703125" style="3" customWidth="1"/>
    <col min="14086" max="14094" width="13.42578125" style="3" customWidth="1"/>
    <col min="14095" max="14339" width="8.7109375" style="3"/>
    <col min="14340" max="14340" width="37.5703125" style="3" customWidth="1"/>
    <col min="14341" max="14341" width="12.5703125" style="3" customWidth="1"/>
    <col min="14342" max="14350" width="13.42578125" style="3" customWidth="1"/>
    <col min="14351" max="14595" width="8.7109375" style="3"/>
    <col min="14596" max="14596" width="37.5703125" style="3" customWidth="1"/>
    <col min="14597" max="14597" width="12.5703125" style="3" customWidth="1"/>
    <col min="14598" max="14606" width="13.42578125" style="3" customWidth="1"/>
    <col min="14607" max="14851" width="8.7109375" style="3"/>
    <col min="14852" max="14852" width="37.5703125" style="3" customWidth="1"/>
    <col min="14853" max="14853" width="12.5703125" style="3" customWidth="1"/>
    <col min="14854" max="14862" width="13.42578125" style="3" customWidth="1"/>
    <col min="14863" max="15107" width="8.7109375" style="3"/>
    <col min="15108" max="15108" width="37.5703125" style="3" customWidth="1"/>
    <col min="15109" max="15109" width="12.5703125" style="3" customWidth="1"/>
    <col min="15110" max="15118" width="13.42578125" style="3" customWidth="1"/>
    <col min="15119" max="15363" width="8.7109375" style="3"/>
    <col min="15364" max="15364" width="37.5703125" style="3" customWidth="1"/>
    <col min="15365" max="15365" width="12.5703125" style="3" customWidth="1"/>
    <col min="15366" max="15374" width="13.42578125" style="3" customWidth="1"/>
    <col min="15375" max="15619" width="8.7109375" style="3"/>
    <col min="15620" max="15620" width="37.5703125" style="3" customWidth="1"/>
    <col min="15621" max="15621" width="12.5703125" style="3" customWidth="1"/>
    <col min="15622" max="15630" width="13.42578125" style="3" customWidth="1"/>
    <col min="15631" max="15875" width="8.7109375" style="3"/>
    <col min="15876" max="15876" width="37.5703125" style="3" customWidth="1"/>
    <col min="15877" max="15877" width="12.5703125" style="3" customWidth="1"/>
    <col min="15878" max="15886" width="13.42578125" style="3" customWidth="1"/>
    <col min="15887" max="16131" width="8.7109375" style="3"/>
    <col min="16132" max="16132" width="37.5703125" style="3" customWidth="1"/>
    <col min="16133" max="16133" width="12.5703125" style="3" customWidth="1"/>
    <col min="16134" max="16142" width="13.42578125" style="3" customWidth="1"/>
    <col min="16143" max="16384" width="8.7109375" style="3"/>
  </cols>
  <sheetData>
    <row r="1" spans="1:21" ht="32.25">
      <c r="A1" s="1" t="s">
        <v>433</v>
      </c>
      <c r="B1" s="2"/>
      <c r="C1" s="2"/>
      <c r="D1" s="2"/>
      <c r="E1" s="2"/>
      <c r="F1" s="2"/>
      <c r="G1" s="2"/>
      <c r="H1" s="2"/>
      <c r="I1" s="2"/>
      <c r="J1" s="2"/>
      <c r="K1" s="2"/>
      <c r="L1" s="2"/>
      <c r="M1" s="2"/>
      <c r="N1" s="1"/>
      <c r="O1" s="1"/>
      <c r="P1" s="2"/>
      <c r="Q1" s="2"/>
      <c r="R1" s="2"/>
      <c r="S1" s="2"/>
      <c r="T1" s="2"/>
    </row>
    <row r="2" spans="1:21" s="13" customFormat="1" ht="21.6" customHeight="1">
      <c r="A2" s="4" t="s">
        <v>429</v>
      </c>
      <c r="B2" s="4"/>
      <c r="C2" s="4"/>
      <c r="D2" s="4"/>
      <c r="E2" s="4"/>
      <c r="F2" s="4"/>
      <c r="G2" s="4"/>
      <c r="H2" s="4"/>
      <c r="I2" s="4"/>
      <c r="J2" s="4"/>
      <c r="K2" s="4"/>
      <c r="L2" s="4"/>
      <c r="M2" s="4"/>
      <c r="N2" s="4"/>
      <c r="O2" s="4"/>
      <c r="P2" s="4"/>
      <c r="Q2" s="4"/>
      <c r="R2" s="4"/>
      <c r="S2" s="4"/>
      <c r="T2" s="4"/>
      <c r="U2" s="3"/>
    </row>
    <row r="3" spans="1:21" s="13" customFormat="1">
      <c r="R3" s="3"/>
      <c r="S3" s="3"/>
      <c r="T3" s="3"/>
      <c r="U3" s="3"/>
    </row>
    <row r="5" spans="1:21" ht="23.25">
      <c r="A5" s="10" t="s">
        <v>394</v>
      </c>
      <c r="B5" s="10"/>
    </row>
    <row r="6" spans="1:21">
      <c r="A6" t="s">
        <v>430</v>
      </c>
      <c r="B6" s="294">
        <v>550000</v>
      </c>
    </row>
    <row r="7" spans="1:21">
      <c r="A7" t="s">
        <v>431</v>
      </c>
      <c r="B7" s="294">
        <v>1000000</v>
      </c>
    </row>
    <row r="8" spans="1:21">
      <c r="A8" t="s">
        <v>432</v>
      </c>
      <c r="B8" s="294">
        <f>B6-B7</f>
        <v>-450000</v>
      </c>
    </row>
    <row r="11" spans="1:21" ht="23.25">
      <c r="A11" s="10" t="s">
        <v>435</v>
      </c>
      <c r="B11" s="10"/>
      <c r="C11" s="10"/>
      <c r="D11" s="10"/>
    </row>
    <row r="12" spans="1:21">
      <c r="A12" s="153" t="s">
        <v>436</v>
      </c>
      <c r="B12" s="311" t="s">
        <v>437</v>
      </c>
      <c r="C12" s="311" t="s">
        <v>438</v>
      </c>
      <c r="D12" s="311" t="s">
        <v>440</v>
      </c>
    </row>
    <row r="13" spans="1:21">
      <c r="A13" t="s">
        <v>434</v>
      </c>
      <c r="B13" s="310">
        <v>2.5000000000000001E-2</v>
      </c>
      <c r="C13" s="310">
        <v>0</v>
      </c>
      <c r="D13" s="312">
        <v>0.01</v>
      </c>
    </row>
    <row r="14" spans="1:21">
      <c r="A14" t="s">
        <v>439</v>
      </c>
      <c r="B14" s="310">
        <v>2.3E-2</v>
      </c>
      <c r="C14" s="310">
        <v>7.4999999999999997E-3</v>
      </c>
      <c r="D14" s="312">
        <v>0.01</v>
      </c>
    </row>
    <row r="15" spans="1:21">
      <c r="A15" t="s">
        <v>441</v>
      </c>
      <c r="B15" s="310">
        <v>3.3000000000000002E-2</v>
      </c>
      <c r="C15" s="310">
        <v>7.4999999999999997E-3</v>
      </c>
      <c r="D15" s="312">
        <v>0.01</v>
      </c>
    </row>
    <row r="16" spans="1:21">
      <c r="A16" t="s">
        <v>453</v>
      </c>
      <c r="B16" s="310">
        <f>B13</f>
        <v>2.5000000000000001E-2</v>
      </c>
    </row>
    <row r="18" spans="1:9" ht="23.25">
      <c r="A18" s="10" t="s">
        <v>442</v>
      </c>
      <c r="B18" s="10"/>
      <c r="C18" s="10"/>
    </row>
    <row r="19" spans="1:9">
      <c r="A19" s="153"/>
      <c r="B19" s="311" t="s">
        <v>449</v>
      </c>
      <c r="C19" s="311" t="s">
        <v>438</v>
      </c>
    </row>
    <row r="20" spans="1:9">
      <c r="A20" t="s">
        <v>443</v>
      </c>
      <c r="B20" s="294">
        <f>-B8/D13</f>
        <v>45000000</v>
      </c>
      <c r="C20" s="294">
        <f>B20*C13</f>
        <v>0</v>
      </c>
    </row>
    <row r="21" spans="1:9">
      <c r="A21" t="s">
        <v>444</v>
      </c>
      <c r="B21" s="294">
        <f>-B8/$D$14</f>
        <v>45000000</v>
      </c>
      <c r="C21" s="294">
        <f>B21*C14</f>
        <v>337500</v>
      </c>
    </row>
    <row r="22" spans="1:9">
      <c r="A22" t="s">
        <v>441</v>
      </c>
      <c r="B22" s="294">
        <v>-45000000</v>
      </c>
      <c r="C22" s="294">
        <f>B22*C15</f>
        <v>-337500</v>
      </c>
    </row>
    <row r="23" spans="1:9">
      <c r="A23" t="s">
        <v>452</v>
      </c>
      <c r="B23" s="294"/>
      <c r="C23" s="294">
        <f>SUM(C21:C22)</f>
        <v>0</v>
      </c>
    </row>
    <row r="24" spans="1:9">
      <c r="A24"/>
      <c r="B24" s="294"/>
      <c r="C24" s="294"/>
    </row>
    <row r="29" spans="1:9">
      <c r="A29" s="3" t="s">
        <v>454</v>
      </c>
      <c r="B29" s="3" t="s">
        <v>443</v>
      </c>
      <c r="C29" s="3" t="s">
        <v>439</v>
      </c>
      <c r="D29" s="3" t="s">
        <v>445</v>
      </c>
      <c r="E29" s="3" t="s">
        <v>447</v>
      </c>
      <c r="F29" s="3" t="s">
        <v>448</v>
      </c>
      <c r="G29" s="3" t="s">
        <v>446</v>
      </c>
      <c r="H29" s="3" t="s">
        <v>450</v>
      </c>
      <c r="I29" s="3" t="s">
        <v>451</v>
      </c>
    </row>
    <row r="30" spans="1:9">
      <c r="A30" s="313">
        <v>0.02</v>
      </c>
      <c r="B30" s="314">
        <f t="shared" ref="B30:B52" si="0">(E30-F30) + G30</f>
        <v>0</v>
      </c>
      <c r="C30" s="3">
        <f>(E30-F30) + H30 - $C$21</f>
        <v>-427500.00000000012</v>
      </c>
      <c r="D30" s="3">
        <f t="shared" ref="D30:D52" si="1">(E30-F30) + H30 - $C$23 + I30</f>
        <v>-90000.000000000087</v>
      </c>
      <c r="E30" s="314">
        <f t="shared" ref="E30:E52" si="2">($B$16 - A30) * 100 * $B$6</f>
        <v>275000.00000000006</v>
      </c>
      <c r="F30" s="314">
        <f t="shared" ref="F30:F52" si="3">($B$16 - A30) * 100 * $B$7</f>
        <v>500000.00000000012</v>
      </c>
      <c r="G30" s="314">
        <f t="shared" ref="G30:G52" si="4">($B$13-A30) * $B$20</f>
        <v>225000.00000000006</v>
      </c>
      <c r="H30" s="314">
        <f t="shared" ref="H30:H52" si="5">MAX($B$14 - A30, 0) * $B$21</f>
        <v>134999.99999999997</v>
      </c>
      <c r="I30" s="314">
        <f>MAX( A30 - $B$15, 0) * $B$22</f>
        <v>0</v>
      </c>
    </row>
    <row r="31" spans="1:9">
      <c r="A31" s="313">
        <f>A30+0.001</f>
        <v>2.1000000000000001E-2</v>
      </c>
      <c r="B31" s="314">
        <f t="shared" si="0"/>
        <v>0</v>
      </c>
      <c r="C31" s="3">
        <f t="shared" ref="C31:C52" si="6">(E31-F31) + H31 - $C$21</f>
        <v>-427500.00000000006</v>
      </c>
      <c r="D31" s="3">
        <f t="shared" si="1"/>
        <v>-90000.000000000073</v>
      </c>
      <c r="E31" s="314">
        <f t="shared" si="2"/>
        <v>220000</v>
      </c>
      <c r="F31" s="314">
        <f t="shared" si="3"/>
        <v>400000</v>
      </c>
      <c r="G31" s="314">
        <f t="shared" si="4"/>
        <v>180000</v>
      </c>
      <c r="H31" s="314">
        <f t="shared" si="5"/>
        <v>89999.999999999927</v>
      </c>
      <c r="I31" s="314">
        <f t="shared" ref="I31:I51" si="7">MAX( A31 - $B$15, 0) * $B$22</f>
        <v>0</v>
      </c>
    </row>
    <row r="32" spans="1:9">
      <c r="A32" s="313">
        <f t="shared" ref="A32:A45" si="8">A31+0.001</f>
        <v>2.2000000000000002E-2</v>
      </c>
      <c r="B32" s="314">
        <f t="shared" si="0"/>
        <v>0</v>
      </c>
      <c r="C32" s="3">
        <f t="shared" si="6"/>
        <v>-427500.00000000012</v>
      </c>
      <c r="D32" s="3">
        <f t="shared" si="1"/>
        <v>-90000.000000000087</v>
      </c>
      <c r="E32" s="314">
        <f t="shared" si="2"/>
        <v>164999.99999999997</v>
      </c>
      <c r="F32" s="314">
        <f t="shared" si="3"/>
        <v>299999.99999999994</v>
      </c>
      <c r="G32" s="314">
        <f t="shared" si="4"/>
        <v>134999.99999999997</v>
      </c>
      <c r="H32" s="314">
        <f t="shared" si="5"/>
        <v>44999.999999999884</v>
      </c>
      <c r="I32" s="314">
        <f t="shared" si="7"/>
        <v>0</v>
      </c>
    </row>
    <row r="33" spans="1:9">
      <c r="A33" s="313">
        <f t="shared" si="8"/>
        <v>2.3000000000000003E-2</v>
      </c>
      <c r="B33" s="314">
        <f t="shared" si="0"/>
        <v>0</v>
      </c>
      <c r="C33" s="3">
        <f t="shared" si="6"/>
        <v>-427499.99999999994</v>
      </c>
      <c r="D33" s="3">
        <f t="shared" si="1"/>
        <v>-89999.999999999942</v>
      </c>
      <c r="E33" s="314">
        <f t="shared" si="2"/>
        <v>109999.99999999991</v>
      </c>
      <c r="F33" s="314">
        <f t="shared" si="3"/>
        <v>199999.99999999985</v>
      </c>
      <c r="G33" s="314">
        <f t="shared" si="4"/>
        <v>89999.999999999927</v>
      </c>
      <c r="H33" s="314">
        <f t="shared" si="5"/>
        <v>0</v>
      </c>
      <c r="I33" s="314">
        <f t="shared" si="7"/>
        <v>0</v>
      </c>
    </row>
    <row r="34" spans="1:9">
      <c r="A34" s="313">
        <f t="shared" si="8"/>
        <v>2.4000000000000004E-2</v>
      </c>
      <c r="B34" s="314">
        <f t="shared" si="0"/>
        <v>0</v>
      </c>
      <c r="C34" s="3">
        <f t="shared" si="6"/>
        <v>-382499.99999999988</v>
      </c>
      <c r="D34" s="3">
        <f t="shared" si="1"/>
        <v>-44999.999999999884</v>
      </c>
      <c r="E34" s="314">
        <f t="shared" si="2"/>
        <v>54999.999999999854</v>
      </c>
      <c r="F34" s="314">
        <f t="shared" si="3"/>
        <v>99999.999999999738</v>
      </c>
      <c r="G34" s="314">
        <f t="shared" si="4"/>
        <v>44999.999999999884</v>
      </c>
      <c r="H34" s="314">
        <f t="shared" si="5"/>
        <v>0</v>
      </c>
      <c r="I34" s="314">
        <f t="shared" si="7"/>
        <v>0</v>
      </c>
    </row>
    <row r="35" spans="1:9">
      <c r="A35" s="313">
        <f t="shared" si="8"/>
        <v>2.5000000000000005E-2</v>
      </c>
      <c r="B35" s="314">
        <f t="shared" si="0"/>
        <v>0</v>
      </c>
      <c r="C35" s="3">
        <f t="shared" si="6"/>
        <v>-337499.99999999983</v>
      </c>
      <c r="D35" s="3">
        <f t="shared" si="1"/>
        <v>1.5612511283791264E-10</v>
      </c>
      <c r="E35" s="314">
        <f t="shared" si="2"/>
        <v>-1.9081958235744878E-10</v>
      </c>
      <c r="F35" s="314">
        <f t="shared" si="3"/>
        <v>-3.4694469519536142E-10</v>
      </c>
      <c r="G35" s="314">
        <f t="shared" si="4"/>
        <v>-1.5612511283791264E-10</v>
      </c>
      <c r="H35" s="314">
        <f t="shared" si="5"/>
        <v>0</v>
      </c>
      <c r="I35" s="314">
        <f t="shared" si="7"/>
        <v>0</v>
      </c>
    </row>
    <row r="36" spans="1:9">
      <c r="A36" s="313">
        <f t="shared" si="8"/>
        <v>2.6000000000000006E-2</v>
      </c>
      <c r="B36" s="314">
        <f t="shared" si="0"/>
        <v>0</v>
      </c>
      <c r="C36" s="3">
        <f t="shared" si="6"/>
        <v>-292499.99999999983</v>
      </c>
      <c r="D36" s="3">
        <f t="shared" si="1"/>
        <v>45000.000000000196</v>
      </c>
      <c r="E36" s="314">
        <f t="shared" si="2"/>
        <v>-55000.00000000024</v>
      </c>
      <c r="F36" s="314">
        <f t="shared" si="3"/>
        <v>-100000.00000000044</v>
      </c>
      <c r="G36" s="314">
        <f t="shared" si="4"/>
        <v>-45000.000000000196</v>
      </c>
      <c r="H36" s="314">
        <f t="shared" si="5"/>
        <v>0</v>
      </c>
      <c r="I36" s="314">
        <f t="shared" si="7"/>
        <v>0</v>
      </c>
    </row>
    <row r="37" spans="1:9">
      <c r="A37" s="313">
        <f t="shared" si="8"/>
        <v>2.7000000000000007E-2</v>
      </c>
      <c r="B37" s="314">
        <f t="shared" si="0"/>
        <v>0</v>
      </c>
      <c r="C37" s="3">
        <f t="shared" si="6"/>
        <v>-247499.99999999977</v>
      </c>
      <c r="D37" s="3">
        <f t="shared" si="1"/>
        <v>90000.000000000247</v>
      </c>
      <c r="E37" s="314">
        <f t="shared" si="2"/>
        <v>-110000.00000000028</v>
      </c>
      <c r="F37" s="314">
        <f t="shared" si="3"/>
        <v>-200000.00000000052</v>
      </c>
      <c r="G37" s="314">
        <f t="shared" si="4"/>
        <v>-90000.000000000233</v>
      </c>
      <c r="H37" s="314">
        <f t="shared" si="5"/>
        <v>0</v>
      </c>
      <c r="I37" s="314">
        <f t="shared" si="7"/>
        <v>0</v>
      </c>
    </row>
    <row r="38" spans="1:9">
      <c r="A38" s="313">
        <f t="shared" si="8"/>
        <v>2.8000000000000008E-2</v>
      </c>
      <c r="B38" s="314">
        <f t="shared" si="0"/>
        <v>0</v>
      </c>
      <c r="C38" s="3">
        <f t="shared" si="6"/>
        <v>-202499.99999999974</v>
      </c>
      <c r="D38" s="3">
        <f t="shared" si="1"/>
        <v>135000.00000000026</v>
      </c>
      <c r="E38" s="314">
        <f t="shared" si="2"/>
        <v>-165000.00000000032</v>
      </c>
      <c r="F38" s="314">
        <f t="shared" si="3"/>
        <v>-300000.00000000058</v>
      </c>
      <c r="G38" s="314">
        <f t="shared" si="4"/>
        <v>-135000.00000000026</v>
      </c>
      <c r="H38" s="314">
        <f t="shared" si="5"/>
        <v>0</v>
      </c>
      <c r="I38" s="314">
        <f t="shared" si="7"/>
        <v>0</v>
      </c>
    </row>
    <row r="39" spans="1:9">
      <c r="A39" s="313">
        <f t="shared" si="8"/>
        <v>2.9000000000000008E-2</v>
      </c>
      <c r="B39" s="314">
        <f t="shared" si="0"/>
        <v>0</v>
      </c>
      <c r="C39" s="3">
        <f t="shared" si="6"/>
        <v>-157499.99999999968</v>
      </c>
      <c r="D39" s="3">
        <f t="shared" si="1"/>
        <v>180000.00000000032</v>
      </c>
      <c r="E39" s="314">
        <f t="shared" si="2"/>
        <v>-220000.00000000038</v>
      </c>
      <c r="F39" s="314">
        <f t="shared" si="3"/>
        <v>-400000.0000000007</v>
      </c>
      <c r="G39" s="314">
        <f t="shared" si="4"/>
        <v>-180000.00000000032</v>
      </c>
      <c r="H39" s="314">
        <f t="shared" si="5"/>
        <v>0</v>
      </c>
      <c r="I39" s="314">
        <f t="shared" si="7"/>
        <v>0</v>
      </c>
    </row>
    <row r="40" spans="1:9">
      <c r="A40" s="313">
        <f t="shared" si="8"/>
        <v>3.0000000000000009E-2</v>
      </c>
      <c r="B40" s="314">
        <f t="shared" si="0"/>
        <v>0</v>
      </c>
      <c r="C40" s="3">
        <f t="shared" si="6"/>
        <v>-112499.99999999965</v>
      </c>
      <c r="D40" s="3">
        <f t="shared" si="1"/>
        <v>225000.00000000035</v>
      </c>
      <c r="E40" s="314">
        <f t="shared" si="2"/>
        <v>-275000.00000000041</v>
      </c>
      <c r="F40" s="314">
        <f t="shared" si="3"/>
        <v>-500000.00000000076</v>
      </c>
      <c r="G40" s="314">
        <f t="shared" si="4"/>
        <v>-225000.00000000035</v>
      </c>
      <c r="H40" s="314">
        <f t="shared" si="5"/>
        <v>0</v>
      </c>
      <c r="I40" s="314">
        <f t="shared" si="7"/>
        <v>0</v>
      </c>
    </row>
    <row r="41" spans="1:9">
      <c r="A41" s="313">
        <f t="shared" si="8"/>
        <v>3.100000000000001E-2</v>
      </c>
      <c r="B41" s="314">
        <f t="shared" si="0"/>
        <v>0</v>
      </c>
      <c r="C41" s="3">
        <f t="shared" si="6"/>
        <v>-67499.999999999651</v>
      </c>
      <c r="D41" s="3">
        <f t="shared" si="1"/>
        <v>270000.00000000035</v>
      </c>
      <c r="E41" s="314">
        <f t="shared" si="2"/>
        <v>-330000.00000000047</v>
      </c>
      <c r="F41" s="314">
        <f t="shared" si="3"/>
        <v>-600000.00000000081</v>
      </c>
      <c r="G41" s="314">
        <f t="shared" si="4"/>
        <v>-270000.00000000041</v>
      </c>
      <c r="H41" s="314">
        <f t="shared" si="5"/>
        <v>0</v>
      </c>
      <c r="I41" s="314">
        <f t="shared" si="7"/>
        <v>0</v>
      </c>
    </row>
    <row r="42" spans="1:9">
      <c r="A42" s="313">
        <f t="shared" si="8"/>
        <v>3.2000000000000008E-2</v>
      </c>
      <c r="B42" s="314">
        <f t="shared" si="0"/>
        <v>0</v>
      </c>
      <c r="C42" s="3">
        <f t="shared" si="6"/>
        <v>-22499.999999999767</v>
      </c>
      <c r="D42" s="3">
        <f t="shared" si="1"/>
        <v>315000.00000000023</v>
      </c>
      <c r="E42" s="314">
        <f t="shared" si="2"/>
        <v>-385000.00000000035</v>
      </c>
      <c r="F42" s="314">
        <f t="shared" si="3"/>
        <v>-700000.00000000058</v>
      </c>
      <c r="G42" s="314">
        <f t="shared" si="4"/>
        <v>-315000.00000000029</v>
      </c>
      <c r="H42" s="314">
        <f t="shared" si="5"/>
        <v>0</v>
      </c>
      <c r="I42" s="314">
        <f t="shared" si="7"/>
        <v>0</v>
      </c>
    </row>
    <row r="43" spans="1:9">
      <c r="A43" s="313">
        <f t="shared" si="8"/>
        <v>3.3000000000000008E-2</v>
      </c>
      <c r="B43" s="314">
        <f t="shared" si="0"/>
        <v>0</v>
      </c>
      <c r="C43" s="3">
        <f t="shared" si="6"/>
        <v>22500.000000000291</v>
      </c>
      <c r="D43" s="3">
        <f t="shared" si="1"/>
        <v>360000</v>
      </c>
      <c r="E43" s="314">
        <f t="shared" si="2"/>
        <v>-440000.00000000041</v>
      </c>
      <c r="F43" s="314">
        <f t="shared" si="3"/>
        <v>-800000.0000000007</v>
      </c>
      <c r="G43" s="314">
        <f t="shared" si="4"/>
        <v>-360000.00000000029</v>
      </c>
      <c r="H43" s="314">
        <f t="shared" si="5"/>
        <v>0</v>
      </c>
      <c r="I43" s="314">
        <f t="shared" si="7"/>
        <v>-3.1225022567582528E-10</v>
      </c>
    </row>
    <row r="44" spans="1:9">
      <c r="A44" s="313">
        <f t="shared" si="8"/>
        <v>3.4000000000000009E-2</v>
      </c>
      <c r="B44" s="314">
        <f t="shared" si="0"/>
        <v>0</v>
      </c>
      <c r="C44" s="3">
        <f t="shared" si="6"/>
        <v>67500.000000000349</v>
      </c>
      <c r="D44" s="3">
        <f t="shared" si="1"/>
        <v>360000</v>
      </c>
      <c r="E44" s="314">
        <f t="shared" si="2"/>
        <v>-495000.00000000047</v>
      </c>
      <c r="F44" s="314">
        <f t="shared" si="3"/>
        <v>-900000.00000000081</v>
      </c>
      <c r="G44" s="314">
        <f t="shared" si="4"/>
        <v>-405000.00000000035</v>
      </c>
      <c r="H44" s="314">
        <f t="shared" si="5"/>
        <v>0</v>
      </c>
      <c r="I44" s="314">
        <f t="shared" si="7"/>
        <v>-45000.000000000349</v>
      </c>
    </row>
    <row r="45" spans="1:9">
      <c r="A45" s="313">
        <f t="shared" si="8"/>
        <v>3.500000000000001E-2</v>
      </c>
      <c r="B45" s="314">
        <f t="shared" si="0"/>
        <v>0</v>
      </c>
      <c r="C45" s="3">
        <f t="shared" si="6"/>
        <v>112500.00000000047</v>
      </c>
      <c r="D45" s="3">
        <f t="shared" si="1"/>
        <v>360000.00000000006</v>
      </c>
      <c r="E45" s="314">
        <f t="shared" si="2"/>
        <v>-550000.00000000047</v>
      </c>
      <c r="F45" s="314">
        <f t="shared" si="3"/>
        <v>-1000000.0000000009</v>
      </c>
      <c r="G45" s="314">
        <f t="shared" si="4"/>
        <v>-450000.00000000041</v>
      </c>
      <c r="H45" s="314">
        <f t="shared" si="5"/>
        <v>0</v>
      </c>
      <c r="I45" s="314">
        <f t="shared" si="7"/>
        <v>-90000.000000000393</v>
      </c>
    </row>
    <row r="46" spans="1:9">
      <c r="A46" s="313">
        <f t="shared" ref="A46:A49" si="9">A45+0.001</f>
        <v>3.6000000000000011E-2</v>
      </c>
      <c r="B46" s="314">
        <f t="shared" si="0"/>
        <v>0</v>
      </c>
      <c r="C46" s="3">
        <f t="shared" si="6"/>
        <v>157500.00000000035</v>
      </c>
      <c r="D46" s="3">
        <f>(E46-F46) + H46 - $C$23 + I46</f>
        <v>359999.99999999988</v>
      </c>
      <c r="E46" s="314">
        <f t="shared" si="2"/>
        <v>-605000.00000000058</v>
      </c>
      <c r="F46" s="314">
        <f t="shared" si="3"/>
        <v>-1100000.0000000009</v>
      </c>
      <c r="G46" s="314">
        <f t="shared" si="4"/>
        <v>-495000.00000000047</v>
      </c>
      <c r="H46" s="314">
        <f t="shared" si="5"/>
        <v>0</v>
      </c>
      <c r="I46" s="314">
        <f t="shared" si="7"/>
        <v>-135000.00000000044</v>
      </c>
    </row>
    <row r="47" spans="1:9">
      <c r="A47" s="313">
        <f t="shared" si="9"/>
        <v>3.7000000000000012E-2</v>
      </c>
      <c r="B47" s="314">
        <f t="shared" si="0"/>
        <v>0</v>
      </c>
      <c r="C47" s="3">
        <f t="shared" si="6"/>
        <v>202500.00000000058</v>
      </c>
      <c r="D47" s="3">
        <f t="shared" si="1"/>
        <v>360000.00000000012</v>
      </c>
      <c r="E47" s="314">
        <f t="shared" si="2"/>
        <v>-660000.00000000058</v>
      </c>
      <c r="F47" s="314">
        <f t="shared" si="3"/>
        <v>-1200000.0000000012</v>
      </c>
      <c r="G47" s="314">
        <f t="shared" si="4"/>
        <v>-540000.00000000047</v>
      </c>
      <c r="H47" s="314">
        <f t="shared" si="5"/>
        <v>0</v>
      </c>
      <c r="I47" s="314">
        <f t="shared" si="7"/>
        <v>-180000.00000000047</v>
      </c>
    </row>
    <row r="48" spans="1:9">
      <c r="A48" s="313">
        <f t="shared" si="9"/>
        <v>3.8000000000000013E-2</v>
      </c>
      <c r="B48" s="314">
        <f t="shared" si="0"/>
        <v>0</v>
      </c>
      <c r="C48" s="3">
        <f t="shared" si="6"/>
        <v>247500.00000000058</v>
      </c>
      <c r="D48" s="3">
        <f t="shared" si="1"/>
        <v>360000.00000000006</v>
      </c>
      <c r="E48" s="314">
        <f t="shared" si="2"/>
        <v>-715000.00000000058</v>
      </c>
      <c r="F48" s="314">
        <f t="shared" si="3"/>
        <v>-1300000.0000000012</v>
      </c>
      <c r="G48" s="314">
        <f t="shared" si="4"/>
        <v>-585000.00000000047</v>
      </c>
      <c r="H48" s="314">
        <f t="shared" si="5"/>
        <v>0</v>
      </c>
      <c r="I48" s="314">
        <f t="shared" si="7"/>
        <v>-225000.00000000052</v>
      </c>
    </row>
    <row r="49" spans="1:9">
      <c r="A49" s="313">
        <f t="shared" si="9"/>
        <v>3.9000000000000014E-2</v>
      </c>
      <c r="B49" s="314">
        <f t="shared" si="0"/>
        <v>0</v>
      </c>
      <c r="C49" s="3">
        <f t="shared" si="6"/>
        <v>292500.00000000047</v>
      </c>
      <c r="D49" s="3">
        <f t="shared" si="1"/>
        <v>359999.99999999994</v>
      </c>
      <c r="E49" s="314">
        <f t="shared" si="2"/>
        <v>-770000.0000000007</v>
      </c>
      <c r="F49" s="314">
        <f t="shared" si="3"/>
        <v>-1400000.0000000012</v>
      </c>
      <c r="G49" s="314">
        <f t="shared" si="4"/>
        <v>-630000.00000000058</v>
      </c>
      <c r="H49" s="314">
        <f t="shared" si="5"/>
        <v>0</v>
      </c>
      <c r="I49" s="314">
        <f t="shared" si="7"/>
        <v>-270000.00000000052</v>
      </c>
    </row>
    <row r="50" spans="1:9">
      <c r="A50" s="313">
        <f t="shared" ref="A50:A52" si="10">A49+0.001</f>
        <v>4.0000000000000015E-2</v>
      </c>
      <c r="B50" s="314">
        <f t="shared" si="0"/>
        <v>0</v>
      </c>
      <c r="C50" s="3">
        <f t="shared" si="6"/>
        <v>337500.0000000007</v>
      </c>
      <c r="D50" s="3">
        <f t="shared" si="1"/>
        <v>360000.00000000012</v>
      </c>
      <c r="E50" s="314">
        <f t="shared" si="2"/>
        <v>-825000.0000000007</v>
      </c>
      <c r="F50" s="314">
        <f t="shared" si="3"/>
        <v>-1500000.0000000014</v>
      </c>
      <c r="G50" s="314">
        <f t="shared" si="4"/>
        <v>-675000.00000000058</v>
      </c>
      <c r="H50" s="314">
        <f t="shared" si="5"/>
        <v>0</v>
      </c>
      <c r="I50" s="314">
        <f t="shared" si="7"/>
        <v>-315000.00000000058</v>
      </c>
    </row>
    <row r="51" spans="1:9">
      <c r="A51" s="313">
        <f t="shared" si="10"/>
        <v>4.1000000000000016E-2</v>
      </c>
      <c r="B51" s="314">
        <f t="shared" si="0"/>
        <v>0</v>
      </c>
      <c r="C51" s="3">
        <f t="shared" si="6"/>
        <v>382500.00000000058</v>
      </c>
      <c r="D51" s="3">
        <f t="shared" si="1"/>
        <v>359999.99999999994</v>
      </c>
      <c r="E51" s="314">
        <f t="shared" si="2"/>
        <v>-880000.00000000081</v>
      </c>
      <c r="F51" s="314">
        <f t="shared" si="3"/>
        <v>-1600000.0000000014</v>
      </c>
      <c r="G51" s="314">
        <f t="shared" si="4"/>
        <v>-720000.00000000058</v>
      </c>
      <c r="H51" s="314">
        <f t="shared" si="5"/>
        <v>0</v>
      </c>
      <c r="I51" s="314">
        <f t="shared" si="7"/>
        <v>-360000.00000000064</v>
      </c>
    </row>
    <row r="52" spans="1:9">
      <c r="A52" s="313">
        <f t="shared" si="10"/>
        <v>4.2000000000000016E-2</v>
      </c>
      <c r="B52" s="314">
        <f t="shared" si="0"/>
        <v>0</v>
      </c>
      <c r="C52" s="3">
        <f t="shared" si="6"/>
        <v>427500.00000000058</v>
      </c>
      <c r="D52" s="3">
        <f t="shared" si="1"/>
        <v>359999.99999999988</v>
      </c>
      <c r="E52" s="314">
        <f t="shared" si="2"/>
        <v>-935000.00000000081</v>
      </c>
      <c r="F52" s="314">
        <f t="shared" si="3"/>
        <v>-1700000.0000000014</v>
      </c>
      <c r="G52" s="314">
        <f t="shared" si="4"/>
        <v>-765000.0000000007</v>
      </c>
      <c r="H52" s="314">
        <f t="shared" si="5"/>
        <v>0</v>
      </c>
      <c r="I52" s="314">
        <f>MAX( A52 - $B$15, 0) * $B$22</f>
        <v>-405000.0000000007</v>
      </c>
    </row>
  </sheetData>
  <pageMargins left="0.7" right="0.7" top="0.75" bottom="0.75" header="0.3" footer="0.3"/>
  <pageSetup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1A1F6-A517-4B7B-AFA2-2F3E964B3385}">
  <sheetPr codeName="Sheet4">
    <tabColor theme="9"/>
  </sheetPr>
  <dimension ref="B4:R32"/>
  <sheetViews>
    <sheetView topLeftCell="B1" workbookViewId="0">
      <selection activeCell="I43" sqref="I42:I43"/>
    </sheetView>
  </sheetViews>
  <sheetFormatPr defaultRowHeight="15"/>
  <cols>
    <col min="2" max="2" width="60.85546875" bestFit="1" customWidth="1"/>
  </cols>
  <sheetData>
    <row r="4" spans="2:18">
      <c r="B4" t="s">
        <v>464</v>
      </c>
      <c r="F4" s="153" t="s">
        <v>501</v>
      </c>
      <c r="N4" s="153" t="s">
        <v>552</v>
      </c>
      <c r="R4" s="153" t="s">
        <v>557</v>
      </c>
    </row>
    <row r="5" spans="2:18">
      <c r="F5" t="s">
        <v>502</v>
      </c>
      <c r="N5" t="s">
        <v>553</v>
      </c>
      <c r="R5" t="s">
        <v>558</v>
      </c>
    </row>
    <row r="6" spans="2:18">
      <c r="B6" t="s">
        <v>471</v>
      </c>
      <c r="F6" t="s">
        <v>503</v>
      </c>
      <c r="R6" t="s">
        <v>559</v>
      </c>
    </row>
    <row r="7" spans="2:18">
      <c r="B7" t="s">
        <v>476</v>
      </c>
      <c r="F7" t="s">
        <v>513</v>
      </c>
    </row>
    <row r="8" spans="2:18">
      <c r="B8" s="319" t="s">
        <v>477</v>
      </c>
      <c r="F8" t="s">
        <v>504</v>
      </c>
      <c r="R8" t="s">
        <v>563</v>
      </c>
    </row>
    <row r="9" spans="2:18">
      <c r="B9" s="328" t="s">
        <v>478</v>
      </c>
      <c r="F9" t="s">
        <v>505</v>
      </c>
      <c r="R9" t="s">
        <v>564</v>
      </c>
    </row>
    <row r="10" spans="2:18">
      <c r="B10" s="328" t="s">
        <v>506</v>
      </c>
      <c r="F10" t="s">
        <v>512</v>
      </c>
      <c r="R10" t="s">
        <v>565</v>
      </c>
    </row>
    <row r="11" spans="2:18">
      <c r="F11" t="s">
        <v>514</v>
      </c>
    </row>
    <row r="12" spans="2:18">
      <c r="F12" t="s">
        <v>527</v>
      </c>
      <c r="R12" t="s">
        <v>566</v>
      </c>
    </row>
    <row r="13" spans="2:18">
      <c r="F13" t="s">
        <v>576</v>
      </c>
    </row>
    <row r="14" spans="2:18">
      <c r="B14" t="s">
        <v>472</v>
      </c>
      <c r="F14" t="s">
        <v>598</v>
      </c>
      <c r="R14" t="s">
        <v>568</v>
      </c>
    </row>
    <row r="15" spans="2:18">
      <c r="B15" s="153" t="s">
        <v>465</v>
      </c>
    </row>
    <row r="16" spans="2:18">
      <c r="B16" s="328" t="s">
        <v>466</v>
      </c>
      <c r="R16" t="s">
        <v>572</v>
      </c>
    </row>
    <row r="17" spans="2:18">
      <c r="B17" s="328" t="s">
        <v>467</v>
      </c>
      <c r="R17" t="s">
        <v>600</v>
      </c>
    </row>
    <row r="18" spans="2:18">
      <c r="B18" s="328" t="s">
        <v>468</v>
      </c>
    </row>
    <row r="19" spans="2:18">
      <c r="B19" s="328" t="s">
        <v>469</v>
      </c>
      <c r="N19" s="153" t="s">
        <v>414</v>
      </c>
    </row>
    <row r="20" spans="2:18">
      <c r="B20" s="334" t="s">
        <v>470</v>
      </c>
      <c r="N20" t="s">
        <v>599</v>
      </c>
    </row>
    <row r="21" spans="2:18">
      <c r="B21" s="328" t="s">
        <v>473</v>
      </c>
      <c r="N21" t="s">
        <v>601</v>
      </c>
    </row>
    <row r="22" spans="2:18">
      <c r="O22" t="s">
        <v>602</v>
      </c>
    </row>
    <row r="23" spans="2:18">
      <c r="B23" s="328" t="s">
        <v>475</v>
      </c>
      <c r="O23" t="s">
        <v>603</v>
      </c>
    </row>
    <row r="24" spans="2:18">
      <c r="B24" s="328" t="s">
        <v>474</v>
      </c>
    </row>
    <row r="26" spans="2:18">
      <c r="B26" s="328" t="s">
        <v>479</v>
      </c>
    </row>
    <row r="29" spans="2:18">
      <c r="B29" t="s">
        <v>517</v>
      </c>
    </row>
    <row r="32" spans="2:18">
      <c r="B32" t="s">
        <v>535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BA82A-6E6B-4F7A-A183-AB1F75E2C67F}">
  <sheetPr codeName="Sheet8">
    <tabColor theme="9"/>
  </sheetPr>
  <dimension ref="A1:U52"/>
  <sheetViews>
    <sheetView workbookViewId="0">
      <selection activeCell="C41" sqref="C41"/>
    </sheetView>
  </sheetViews>
  <sheetFormatPr defaultRowHeight="15"/>
  <cols>
    <col min="1" max="1" width="20.28515625" style="3" customWidth="1"/>
    <col min="2" max="2" width="17.5703125" style="3" customWidth="1"/>
    <col min="3" max="3" width="17.140625" style="3" customWidth="1"/>
    <col min="4" max="4" width="15.42578125" style="3" customWidth="1"/>
    <col min="5" max="5" width="16.42578125" style="3" bestFit="1" customWidth="1"/>
    <col min="6" max="6" width="16.42578125" style="3" customWidth="1"/>
    <col min="7" max="7" width="24.85546875" style="3" bestFit="1" customWidth="1"/>
    <col min="8" max="8" width="22" style="3" bestFit="1" customWidth="1"/>
    <col min="9" max="9" width="14.85546875" style="3" customWidth="1"/>
    <col min="10" max="10" width="14.5703125" style="3" bestFit="1" customWidth="1"/>
    <col min="11" max="11" width="15" style="3" bestFit="1" customWidth="1"/>
    <col min="12" max="12" width="11.140625" style="3" bestFit="1" customWidth="1"/>
    <col min="13" max="13" width="12.140625" style="3" bestFit="1" customWidth="1"/>
    <col min="14" max="14" width="13.85546875" style="3" bestFit="1" customWidth="1"/>
    <col min="15" max="15" width="16.7109375" style="3" bestFit="1" customWidth="1"/>
    <col min="16" max="16" width="13.42578125" style="3" bestFit="1" customWidth="1"/>
    <col min="17" max="17" width="8.7109375" style="3"/>
    <col min="18" max="18" width="11.28515625" style="3" bestFit="1" customWidth="1"/>
    <col min="19" max="19" width="11.5703125" style="3" bestFit="1" customWidth="1"/>
    <col min="20" max="259" width="8.7109375" style="3"/>
    <col min="260" max="260" width="37.5703125" style="3" customWidth="1"/>
    <col min="261" max="261" width="12.5703125" style="3" customWidth="1"/>
    <col min="262" max="270" width="13.42578125" style="3" customWidth="1"/>
    <col min="271" max="515" width="8.7109375" style="3"/>
    <col min="516" max="516" width="37.5703125" style="3" customWidth="1"/>
    <col min="517" max="517" width="12.5703125" style="3" customWidth="1"/>
    <col min="518" max="526" width="13.42578125" style="3" customWidth="1"/>
    <col min="527" max="771" width="8.7109375" style="3"/>
    <col min="772" max="772" width="37.5703125" style="3" customWidth="1"/>
    <col min="773" max="773" width="12.5703125" style="3" customWidth="1"/>
    <col min="774" max="782" width="13.42578125" style="3" customWidth="1"/>
    <col min="783" max="1027" width="8.7109375" style="3"/>
    <col min="1028" max="1028" width="37.5703125" style="3" customWidth="1"/>
    <col min="1029" max="1029" width="12.5703125" style="3" customWidth="1"/>
    <col min="1030" max="1038" width="13.42578125" style="3" customWidth="1"/>
    <col min="1039" max="1283" width="8.7109375" style="3"/>
    <col min="1284" max="1284" width="37.5703125" style="3" customWidth="1"/>
    <col min="1285" max="1285" width="12.5703125" style="3" customWidth="1"/>
    <col min="1286" max="1294" width="13.42578125" style="3" customWidth="1"/>
    <col min="1295" max="1539" width="8.7109375" style="3"/>
    <col min="1540" max="1540" width="37.5703125" style="3" customWidth="1"/>
    <col min="1541" max="1541" width="12.5703125" style="3" customWidth="1"/>
    <col min="1542" max="1550" width="13.42578125" style="3" customWidth="1"/>
    <col min="1551" max="1795" width="8.7109375" style="3"/>
    <col min="1796" max="1796" width="37.5703125" style="3" customWidth="1"/>
    <col min="1797" max="1797" width="12.5703125" style="3" customWidth="1"/>
    <col min="1798" max="1806" width="13.42578125" style="3" customWidth="1"/>
    <col min="1807" max="2051" width="8.7109375" style="3"/>
    <col min="2052" max="2052" width="37.5703125" style="3" customWidth="1"/>
    <col min="2053" max="2053" width="12.5703125" style="3" customWidth="1"/>
    <col min="2054" max="2062" width="13.42578125" style="3" customWidth="1"/>
    <col min="2063" max="2307" width="8.7109375" style="3"/>
    <col min="2308" max="2308" width="37.5703125" style="3" customWidth="1"/>
    <col min="2309" max="2309" width="12.5703125" style="3" customWidth="1"/>
    <col min="2310" max="2318" width="13.42578125" style="3" customWidth="1"/>
    <col min="2319" max="2563" width="8.7109375" style="3"/>
    <col min="2564" max="2564" width="37.5703125" style="3" customWidth="1"/>
    <col min="2565" max="2565" width="12.5703125" style="3" customWidth="1"/>
    <col min="2566" max="2574" width="13.42578125" style="3" customWidth="1"/>
    <col min="2575" max="2819" width="8.7109375" style="3"/>
    <col min="2820" max="2820" width="37.5703125" style="3" customWidth="1"/>
    <col min="2821" max="2821" width="12.5703125" style="3" customWidth="1"/>
    <col min="2822" max="2830" width="13.42578125" style="3" customWidth="1"/>
    <col min="2831" max="3075" width="8.7109375" style="3"/>
    <col min="3076" max="3076" width="37.5703125" style="3" customWidth="1"/>
    <col min="3077" max="3077" width="12.5703125" style="3" customWidth="1"/>
    <col min="3078" max="3086" width="13.42578125" style="3" customWidth="1"/>
    <col min="3087" max="3331" width="8.7109375" style="3"/>
    <col min="3332" max="3332" width="37.5703125" style="3" customWidth="1"/>
    <col min="3333" max="3333" width="12.5703125" style="3" customWidth="1"/>
    <col min="3334" max="3342" width="13.42578125" style="3" customWidth="1"/>
    <col min="3343" max="3587" width="8.7109375" style="3"/>
    <col min="3588" max="3588" width="37.5703125" style="3" customWidth="1"/>
    <col min="3589" max="3589" width="12.5703125" style="3" customWidth="1"/>
    <col min="3590" max="3598" width="13.42578125" style="3" customWidth="1"/>
    <col min="3599" max="3843" width="8.7109375" style="3"/>
    <col min="3844" max="3844" width="37.5703125" style="3" customWidth="1"/>
    <col min="3845" max="3845" width="12.5703125" style="3" customWidth="1"/>
    <col min="3846" max="3854" width="13.42578125" style="3" customWidth="1"/>
    <col min="3855" max="4099" width="8.7109375" style="3"/>
    <col min="4100" max="4100" width="37.5703125" style="3" customWidth="1"/>
    <col min="4101" max="4101" width="12.5703125" style="3" customWidth="1"/>
    <col min="4102" max="4110" width="13.42578125" style="3" customWidth="1"/>
    <col min="4111" max="4355" width="8.7109375" style="3"/>
    <col min="4356" max="4356" width="37.5703125" style="3" customWidth="1"/>
    <col min="4357" max="4357" width="12.5703125" style="3" customWidth="1"/>
    <col min="4358" max="4366" width="13.42578125" style="3" customWidth="1"/>
    <col min="4367" max="4611" width="8.7109375" style="3"/>
    <col min="4612" max="4612" width="37.5703125" style="3" customWidth="1"/>
    <col min="4613" max="4613" width="12.5703125" style="3" customWidth="1"/>
    <col min="4614" max="4622" width="13.42578125" style="3" customWidth="1"/>
    <col min="4623" max="4867" width="8.7109375" style="3"/>
    <col min="4868" max="4868" width="37.5703125" style="3" customWidth="1"/>
    <col min="4869" max="4869" width="12.5703125" style="3" customWidth="1"/>
    <col min="4870" max="4878" width="13.42578125" style="3" customWidth="1"/>
    <col min="4879" max="5123" width="8.7109375" style="3"/>
    <col min="5124" max="5124" width="37.5703125" style="3" customWidth="1"/>
    <col min="5125" max="5125" width="12.5703125" style="3" customWidth="1"/>
    <col min="5126" max="5134" width="13.42578125" style="3" customWidth="1"/>
    <col min="5135" max="5379" width="8.7109375" style="3"/>
    <col min="5380" max="5380" width="37.5703125" style="3" customWidth="1"/>
    <col min="5381" max="5381" width="12.5703125" style="3" customWidth="1"/>
    <col min="5382" max="5390" width="13.42578125" style="3" customWidth="1"/>
    <col min="5391" max="5635" width="8.7109375" style="3"/>
    <col min="5636" max="5636" width="37.5703125" style="3" customWidth="1"/>
    <col min="5637" max="5637" width="12.5703125" style="3" customWidth="1"/>
    <col min="5638" max="5646" width="13.42578125" style="3" customWidth="1"/>
    <col min="5647" max="5891" width="8.7109375" style="3"/>
    <col min="5892" max="5892" width="37.5703125" style="3" customWidth="1"/>
    <col min="5893" max="5893" width="12.5703125" style="3" customWidth="1"/>
    <col min="5894" max="5902" width="13.42578125" style="3" customWidth="1"/>
    <col min="5903" max="6147" width="8.7109375" style="3"/>
    <col min="6148" max="6148" width="37.5703125" style="3" customWidth="1"/>
    <col min="6149" max="6149" width="12.5703125" style="3" customWidth="1"/>
    <col min="6150" max="6158" width="13.42578125" style="3" customWidth="1"/>
    <col min="6159" max="6403" width="8.7109375" style="3"/>
    <col min="6404" max="6404" width="37.5703125" style="3" customWidth="1"/>
    <col min="6405" max="6405" width="12.5703125" style="3" customWidth="1"/>
    <col min="6406" max="6414" width="13.42578125" style="3" customWidth="1"/>
    <col min="6415" max="6659" width="8.7109375" style="3"/>
    <col min="6660" max="6660" width="37.5703125" style="3" customWidth="1"/>
    <col min="6661" max="6661" width="12.5703125" style="3" customWidth="1"/>
    <col min="6662" max="6670" width="13.42578125" style="3" customWidth="1"/>
    <col min="6671" max="6915" width="8.7109375" style="3"/>
    <col min="6916" max="6916" width="37.5703125" style="3" customWidth="1"/>
    <col min="6917" max="6917" width="12.5703125" style="3" customWidth="1"/>
    <col min="6918" max="6926" width="13.42578125" style="3" customWidth="1"/>
    <col min="6927" max="7171" width="8.7109375" style="3"/>
    <col min="7172" max="7172" width="37.5703125" style="3" customWidth="1"/>
    <col min="7173" max="7173" width="12.5703125" style="3" customWidth="1"/>
    <col min="7174" max="7182" width="13.42578125" style="3" customWidth="1"/>
    <col min="7183" max="7427" width="8.7109375" style="3"/>
    <col min="7428" max="7428" width="37.5703125" style="3" customWidth="1"/>
    <col min="7429" max="7429" width="12.5703125" style="3" customWidth="1"/>
    <col min="7430" max="7438" width="13.42578125" style="3" customWidth="1"/>
    <col min="7439" max="7683" width="8.7109375" style="3"/>
    <col min="7684" max="7684" width="37.5703125" style="3" customWidth="1"/>
    <col min="7685" max="7685" width="12.5703125" style="3" customWidth="1"/>
    <col min="7686" max="7694" width="13.42578125" style="3" customWidth="1"/>
    <col min="7695" max="7939" width="8.7109375" style="3"/>
    <col min="7940" max="7940" width="37.5703125" style="3" customWidth="1"/>
    <col min="7941" max="7941" width="12.5703125" style="3" customWidth="1"/>
    <col min="7942" max="7950" width="13.42578125" style="3" customWidth="1"/>
    <col min="7951" max="8195" width="8.7109375" style="3"/>
    <col min="8196" max="8196" width="37.5703125" style="3" customWidth="1"/>
    <col min="8197" max="8197" width="12.5703125" style="3" customWidth="1"/>
    <col min="8198" max="8206" width="13.42578125" style="3" customWidth="1"/>
    <col min="8207" max="8451" width="8.7109375" style="3"/>
    <col min="8452" max="8452" width="37.5703125" style="3" customWidth="1"/>
    <col min="8453" max="8453" width="12.5703125" style="3" customWidth="1"/>
    <col min="8454" max="8462" width="13.42578125" style="3" customWidth="1"/>
    <col min="8463" max="8707" width="8.7109375" style="3"/>
    <col min="8708" max="8708" width="37.5703125" style="3" customWidth="1"/>
    <col min="8709" max="8709" width="12.5703125" style="3" customWidth="1"/>
    <col min="8710" max="8718" width="13.42578125" style="3" customWidth="1"/>
    <col min="8719" max="8963" width="8.7109375" style="3"/>
    <col min="8964" max="8964" width="37.5703125" style="3" customWidth="1"/>
    <col min="8965" max="8965" width="12.5703125" style="3" customWidth="1"/>
    <col min="8966" max="8974" width="13.42578125" style="3" customWidth="1"/>
    <col min="8975" max="9219" width="8.7109375" style="3"/>
    <col min="9220" max="9220" width="37.5703125" style="3" customWidth="1"/>
    <col min="9221" max="9221" width="12.5703125" style="3" customWidth="1"/>
    <col min="9222" max="9230" width="13.42578125" style="3" customWidth="1"/>
    <col min="9231" max="9475" width="8.7109375" style="3"/>
    <col min="9476" max="9476" width="37.5703125" style="3" customWidth="1"/>
    <col min="9477" max="9477" width="12.5703125" style="3" customWidth="1"/>
    <col min="9478" max="9486" width="13.42578125" style="3" customWidth="1"/>
    <col min="9487" max="9731" width="8.7109375" style="3"/>
    <col min="9732" max="9732" width="37.5703125" style="3" customWidth="1"/>
    <col min="9733" max="9733" width="12.5703125" style="3" customWidth="1"/>
    <col min="9734" max="9742" width="13.42578125" style="3" customWidth="1"/>
    <col min="9743" max="9987" width="8.7109375" style="3"/>
    <col min="9988" max="9988" width="37.5703125" style="3" customWidth="1"/>
    <col min="9989" max="9989" width="12.5703125" style="3" customWidth="1"/>
    <col min="9990" max="9998" width="13.42578125" style="3" customWidth="1"/>
    <col min="9999" max="10243" width="8.7109375" style="3"/>
    <col min="10244" max="10244" width="37.5703125" style="3" customWidth="1"/>
    <col min="10245" max="10245" width="12.5703125" style="3" customWidth="1"/>
    <col min="10246" max="10254" width="13.42578125" style="3" customWidth="1"/>
    <col min="10255" max="10499" width="8.7109375" style="3"/>
    <col min="10500" max="10500" width="37.5703125" style="3" customWidth="1"/>
    <col min="10501" max="10501" width="12.5703125" style="3" customWidth="1"/>
    <col min="10502" max="10510" width="13.42578125" style="3" customWidth="1"/>
    <col min="10511" max="10755" width="8.7109375" style="3"/>
    <col min="10756" max="10756" width="37.5703125" style="3" customWidth="1"/>
    <col min="10757" max="10757" width="12.5703125" style="3" customWidth="1"/>
    <col min="10758" max="10766" width="13.42578125" style="3" customWidth="1"/>
    <col min="10767" max="11011" width="8.7109375" style="3"/>
    <col min="11012" max="11012" width="37.5703125" style="3" customWidth="1"/>
    <col min="11013" max="11013" width="12.5703125" style="3" customWidth="1"/>
    <col min="11014" max="11022" width="13.42578125" style="3" customWidth="1"/>
    <col min="11023" max="11267" width="8.7109375" style="3"/>
    <col min="11268" max="11268" width="37.5703125" style="3" customWidth="1"/>
    <col min="11269" max="11269" width="12.5703125" style="3" customWidth="1"/>
    <col min="11270" max="11278" width="13.42578125" style="3" customWidth="1"/>
    <col min="11279" max="11523" width="8.7109375" style="3"/>
    <col min="11524" max="11524" width="37.5703125" style="3" customWidth="1"/>
    <col min="11525" max="11525" width="12.5703125" style="3" customWidth="1"/>
    <col min="11526" max="11534" width="13.42578125" style="3" customWidth="1"/>
    <col min="11535" max="11779" width="8.7109375" style="3"/>
    <col min="11780" max="11780" width="37.5703125" style="3" customWidth="1"/>
    <col min="11781" max="11781" width="12.5703125" style="3" customWidth="1"/>
    <col min="11782" max="11790" width="13.42578125" style="3" customWidth="1"/>
    <col min="11791" max="12035" width="8.7109375" style="3"/>
    <col min="12036" max="12036" width="37.5703125" style="3" customWidth="1"/>
    <col min="12037" max="12037" width="12.5703125" style="3" customWidth="1"/>
    <col min="12038" max="12046" width="13.42578125" style="3" customWidth="1"/>
    <col min="12047" max="12291" width="8.7109375" style="3"/>
    <col min="12292" max="12292" width="37.5703125" style="3" customWidth="1"/>
    <col min="12293" max="12293" width="12.5703125" style="3" customWidth="1"/>
    <col min="12294" max="12302" width="13.42578125" style="3" customWidth="1"/>
    <col min="12303" max="12547" width="8.7109375" style="3"/>
    <col min="12548" max="12548" width="37.5703125" style="3" customWidth="1"/>
    <col min="12549" max="12549" width="12.5703125" style="3" customWidth="1"/>
    <col min="12550" max="12558" width="13.42578125" style="3" customWidth="1"/>
    <col min="12559" max="12803" width="8.7109375" style="3"/>
    <col min="12804" max="12804" width="37.5703125" style="3" customWidth="1"/>
    <col min="12805" max="12805" width="12.5703125" style="3" customWidth="1"/>
    <col min="12806" max="12814" width="13.42578125" style="3" customWidth="1"/>
    <col min="12815" max="13059" width="8.7109375" style="3"/>
    <col min="13060" max="13060" width="37.5703125" style="3" customWidth="1"/>
    <col min="13061" max="13061" width="12.5703125" style="3" customWidth="1"/>
    <col min="13062" max="13070" width="13.42578125" style="3" customWidth="1"/>
    <col min="13071" max="13315" width="8.7109375" style="3"/>
    <col min="13316" max="13316" width="37.5703125" style="3" customWidth="1"/>
    <col min="13317" max="13317" width="12.5703125" style="3" customWidth="1"/>
    <col min="13318" max="13326" width="13.42578125" style="3" customWidth="1"/>
    <col min="13327" max="13571" width="8.7109375" style="3"/>
    <col min="13572" max="13572" width="37.5703125" style="3" customWidth="1"/>
    <col min="13573" max="13573" width="12.5703125" style="3" customWidth="1"/>
    <col min="13574" max="13582" width="13.42578125" style="3" customWidth="1"/>
    <col min="13583" max="13827" width="8.7109375" style="3"/>
    <col min="13828" max="13828" width="37.5703125" style="3" customWidth="1"/>
    <col min="13829" max="13829" width="12.5703125" style="3" customWidth="1"/>
    <col min="13830" max="13838" width="13.42578125" style="3" customWidth="1"/>
    <col min="13839" max="14083" width="8.7109375" style="3"/>
    <col min="14084" max="14084" width="37.5703125" style="3" customWidth="1"/>
    <col min="14085" max="14085" width="12.5703125" style="3" customWidth="1"/>
    <col min="14086" max="14094" width="13.42578125" style="3" customWidth="1"/>
    <col min="14095" max="14339" width="8.7109375" style="3"/>
    <col min="14340" max="14340" width="37.5703125" style="3" customWidth="1"/>
    <col min="14341" max="14341" width="12.5703125" style="3" customWidth="1"/>
    <col min="14342" max="14350" width="13.42578125" style="3" customWidth="1"/>
    <col min="14351" max="14595" width="8.7109375" style="3"/>
    <col min="14596" max="14596" width="37.5703125" style="3" customWidth="1"/>
    <col min="14597" max="14597" width="12.5703125" style="3" customWidth="1"/>
    <col min="14598" max="14606" width="13.42578125" style="3" customWidth="1"/>
    <col min="14607" max="14851" width="8.7109375" style="3"/>
    <col min="14852" max="14852" width="37.5703125" style="3" customWidth="1"/>
    <col min="14853" max="14853" width="12.5703125" style="3" customWidth="1"/>
    <col min="14854" max="14862" width="13.42578125" style="3" customWidth="1"/>
    <col min="14863" max="15107" width="8.7109375" style="3"/>
    <col min="15108" max="15108" width="37.5703125" style="3" customWidth="1"/>
    <col min="15109" max="15109" width="12.5703125" style="3" customWidth="1"/>
    <col min="15110" max="15118" width="13.42578125" style="3" customWidth="1"/>
    <col min="15119" max="15363" width="8.7109375" style="3"/>
    <col min="15364" max="15364" width="37.5703125" style="3" customWidth="1"/>
    <col min="15365" max="15365" width="12.5703125" style="3" customWidth="1"/>
    <col min="15366" max="15374" width="13.42578125" style="3" customWidth="1"/>
    <col min="15375" max="15619" width="8.7109375" style="3"/>
    <col min="15620" max="15620" width="37.5703125" style="3" customWidth="1"/>
    <col min="15621" max="15621" width="12.5703125" style="3" customWidth="1"/>
    <col min="15622" max="15630" width="13.42578125" style="3" customWidth="1"/>
    <col min="15631" max="15875" width="8.7109375" style="3"/>
    <col min="15876" max="15876" width="37.5703125" style="3" customWidth="1"/>
    <col min="15877" max="15877" width="12.5703125" style="3" customWidth="1"/>
    <col min="15878" max="15886" width="13.42578125" style="3" customWidth="1"/>
    <col min="15887" max="16131" width="8.7109375" style="3"/>
    <col min="16132" max="16132" width="37.5703125" style="3" customWidth="1"/>
    <col min="16133" max="16133" width="12.5703125" style="3" customWidth="1"/>
    <col min="16134" max="16142" width="13.42578125" style="3" customWidth="1"/>
    <col min="16143" max="16384" width="8.7109375" style="3"/>
  </cols>
  <sheetData>
    <row r="1" spans="1:21" ht="32.25">
      <c r="A1" s="1" t="s">
        <v>606</v>
      </c>
      <c r="B1" s="2"/>
      <c r="C1" s="2"/>
      <c r="D1" s="2"/>
      <c r="E1" s="2"/>
      <c r="F1" s="2"/>
      <c r="G1" s="2"/>
      <c r="H1" s="2"/>
      <c r="I1" s="2"/>
      <c r="J1" s="2"/>
      <c r="K1" s="2"/>
      <c r="L1" s="2"/>
      <c r="M1" s="2"/>
      <c r="N1" s="1"/>
      <c r="O1" s="1"/>
      <c r="P1" s="2"/>
      <c r="Q1" s="2"/>
      <c r="R1" s="2"/>
      <c r="S1" s="2"/>
      <c r="T1" s="2"/>
    </row>
    <row r="2" spans="1:21" s="13" customFormat="1" ht="21.6" customHeight="1">
      <c r="A2" s="4" t="s">
        <v>429</v>
      </c>
      <c r="B2" s="4"/>
      <c r="C2" s="4"/>
      <c r="D2" s="4"/>
      <c r="E2" s="4"/>
      <c r="F2" s="4"/>
      <c r="G2" s="4"/>
      <c r="H2" s="4"/>
      <c r="I2" s="4"/>
      <c r="J2" s="4"/>
      <c r="K2" s="4"/>
      <c r="L2" s="4"/>
      <c r="M2" s="4"/>
      <c r="N2" s="4"/>
      <c r="O2" s="4"/>
      <c r="P2" s="4"/>
      <c r="Q2" s="4"/>
      <c r="R2" s="4"/>
      <c r="S2" s="4"/>
      <c r="T2" s="4"/>
      <c r="U2" s="3"/>
    </row>
    <row r="3" spans="1:21" s="13" customFormat="1">
      <c r="R3" s="3"/>
      <c r="S3" s="3"/>
      <c r="T3" s="3"/>
      <c r="U3" s="3"/>
    </row>
    <row r="29" spans="1:9">
      <c r="B29" s="363"/>
      <c r="C29" s="3" t="s">
        <v>616</v>
      </c>
    </row>
    <row r="30" spans="1:9">
      <c r="A30" s="313"/>
      <c r="E30" s="314"/>
      <c r="F30" s="314"/>
      <c r="G30" s="314"/>
      <c r="H30" s="314"/>
      <c r="I30" s="314"/>
    </row>
    <row r="31" spans="1:9" ht="17.25">
      <c r="A31" s="313"/>
      <c r="B31" s="364" t="s">
        <v>414</v>
      </c>
      <c r="E31" s="314"/>
      <c r="F31" s="314"/>
      <c r="G31" s="314"/>
      <c r="H31" s="314"/>
      <c r="I31" s="314"/>
    </row>
    <row r="32" spans="1:9">
      <c r="A32" s="313"/>
      <c r="B32" s="314" t="s">
        <v>609</v>
      </c>
      <c r="E32" s="314"/>
      <c r="F32" s="314"/>
      <c r="G32" s="314"/>
      <c r="H32" s="314"/>
      <c r="I32" s="314"/>
    </row>
    <row r="33" spans="1:9">
      <c r="A33" s="313"/>
      <c r="B33" s="314" t="s">
        <v>610</v>
      </c>
      <c r="E33" s="314"/>
      <c r="F33" s="314"/>
      <c r="G33" s="314"/>
      <c r="H33" s="314"/>
      <c r="I33" s="314"/>
    </row>
    <row r="34" spans="1:9">
      <c r="A34" s="313"/>
      <c r="B34" s="314" t="s">
        <v>611</v>
      </c>
      <c r="E34" s="314"/>
      <c r="F34" s="314"/>
      <c r="G34" s="314"/>
      <c r="H34" s="314"/>
      <c r="I34" s="314"/>
    </row>
    <row r="35" spans="1:9">
      <c r="A35" s="313"/>
      <c r="B35" s="314"/>
      <c r="C35" s="3" t="s">
        <v>612</v>
      </c>
      <c r="E35" s="314"/>
      <c r="F35" s="314"/>
      <c r="G35" s="314"/>
      <c r="H35" s="314"/>
      <c r="I35" s="314"/>
    </row>
    <row r="36" spans="1:9">
      <c r="A36" s="313"/>
      <c r="B36" s="314" t="s">
        <v>613</v>
      </c>
      <c r="E36" s="314"/>
      <c r="F36" s="314"/>
      <c r="G36" s="314"/>
      <c r="H36" s="314"/>
      <c r="I36" s="314"/>
    </row>
    <row r="37" spans="1:9">
      <c r="A37" s="313"/>
      <c r="B37" s="314"/>
      <c r="C37" s="3" t="s">
        <v>614</v>
      </c>
      <c r="E37" s="314"/>
      <c r="F37" s="314"/>
      <c r="G37" s="314"/>
      <c r="H37" s="314"/>
      <c r="I37" s="314"/>
    </row>
    <row r="38" spans="1:9">
      <c r="A38" s="313"/>
      <c r="B38" s="314" t="s">
        <v>615</v>
      </c>
      <c r="E38" s="314"/>
      <c r="F38" s="314"/>
      <c r="G38" s="314"/>
      <c r="H38" s="314"/>
      <c r="I38" s="314"/>
    </row>
    <row r="39" spans="1:9">
      <c r="A39" s="313"/>
      <c r="B39" s="314"/>
      <c r="E39" s="314"/>
      <c r="F39" s="314"/>
      <c r="G39" s="314"/>
      <c r="H39" s="314"/>
      <c r="I39" s="314"/>
    </row>
    <row r="40" spans="1:9">
      <c r="A40" s="313"/>
      <c r="B40" s="314"/>
      <c r="E40" s="314"/>
      <c r="F40" s="314"/>
      <c r="G40" s="314"/>
      <c r="H40" s="314"/>
      <c r="I40" s="314"/>
    </row>
    <row r="41" spans="1:9">
      <c r="A41" s="313"/>
      <c r="B41" s="314"/>
      <c r="E41" s="314"/>
      <c r="F41" s="314"/>
      <c r="G41" s="314"/>
      <c r="H41" s="314"/>
      <c r="I41" s="314"/>
    </row>
    <row r="42" spans="1:9">
      <c r="A42" s="313"/>
      <c r="B42" s="314"/>
      <c r="E42" s="314"/>
      <c r="F42" s="314"/>
      <c r="G42" s="314"/>
      <c r="H42" s="314"/>
      <c r="I42" s="314"/>
    </row>
    <row r="43" spans="1:9">
      <c r="A43" s="313"/>
      <c r="B43" s="314"/>
      <c r="E43" s="314"/>
      <c r="F43" s="314"/>
      <c r="G43" s="314"/>
      <c r="H43" s="314"/>
      <c r="I43" s="314"/>
    </row>
    <row r="44" spans="1:9">
      <c r="A44" s="313"/>
      <c r="B44" s="314"/>
      <c r="E44" s="314"/>
      <c r="F44" s="314"/>
      <c r="G44" s="314"/>
      <c r="H44" s="314"/>
      <c r="I44" s="314"/>
    </row>
    <row r="45" spans="1:9">
      <c r="A45" s="313"/>
      <c r="B45" s="314"/>
      <c r="E45" s="314"/>
      <c r="F45" s="314"/>
      <c r="G45" s="314"/>
      <c r="H45" s="314"/>
      <c r="I45" s="314"/>
    </row>
    <row r="46" spans="1:9">
      <c r="A46" s="313"/>
      <c r="B46" s="314"/>
      <c r="E46" s="314"/>
      <c r="F46" s="314"/>
      <c r="G46" s="314"/>
      <c r="H46" s="314"/>
      <c r="I46" s="314"/>
    </row>
    <row r="47" spans="1:9">
      <c r="A47" s="313"/>
      <c r="B47" s="314"/>
      <c r="E47" s="314"/>
      <c r="F47" s="314"/>
      <c r="G47" s="314"/>
      <c r="H47" s="314"/>
      <c r="I47" s="314"/>
    </row>
    <row r="48" spans="1:9">
      <c r="A48" s="313"/>
      <c r="B48" s="314"/>
      <c r="E48" s="314"/>
      <c r="F48" s="314"/>
      <c r="G48" s="314"/>
      <c r="H48" s="314"/>
      <c r="I48" s="314"/>
    </row>
    <row r="49" spans="1:9">
      <c r="A49" s="313"/>
      <c r="B49" s="314"/>
      <c r="E49" s="314"/>
      <c r="F49" s="314"/>
      <c r="G49" s="314"/>
      <c r="H49" s="314"/>
      <c r="I49" s="314"/>
    </row>
    <row r="50" spans="1:9">
      <c r="A50" s="313"/>
      <c r="B50" s="314"/>
      <c r="E50" s="314"/>
      <c r="F50" s="314"/>
      <c r="G50" s="314"/>
      <c r="H50" s="314"/>
      <c r="I50" s="314"/>
    </row>
    <row r="51" spans="1:9">
      <c r="A51" s="313"/>
      <c r="B51" s="314"/>
      <c r="E51" s="314"/>
      <c r="F51" s="314"/>
      <c r="G51" s="314"/>
      <c r="H51" s="314"/>
      <c r="I51" s="314"/>
    </row>
    <row r="52" spans="1:9">
      <c r="A52" s="313"/>
      <c r="B52" s="314"/>
      <c r="E52" s="314"/>
      <c r="F52" s="314"/>
      <c r="G52" s="314"/>
      <c r="H52" s="314"/>
      <c r="I52" s="314"/>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75F23-C5B2-48F6-A68A-967B4DC59F24}">
  <sheetPr codeName="Sheet44">
    <tabColor theme="9"/>
  </sheetPr>
  <dimension ref="A1:BX39"/>
  <sheetViews>
    <sheetView showGridLines="0" tabSelected="1" zoomScaleNormal="100" workbookViewId="0">
      <selection activeCell="H14" sqref="H14"/>
    </sheetView>
  </sheetViews>
  <sheetFormatPr defaultRowHeight="15" outlineLevelRow="1"/>
  <cols>
    <col min="1" max="1" width="4.7109375" style="3" customWidth="1"/>
    <col min="2" max="2" width="3" style="3" customWidth="1"/>
    <col min="3" max="3" width="21.85546875" style="3" customWidth="1"/>
    <col min="4" max="4" width="20.42578125" style="3" customWidth="1"/>
    <col min="5" max="5" width="15.5703125" style="3" customWidth="1"/>
    <col min="6" max="6" width="19" style="3" customWidth="1"/>
    <col min="7" max="7" width="17.140625" style="3" customWidth="1"/>
    <col min="8" max="8" width="18.140625" style="3" customWidth="1"/>
    <col min="9" max="9" width="11.7109375" style="3" bestFit="1" customWidth="1"/>
    <col min="10" max="10" width="14.5703125" style="3" bestFit="1" customWidth="1"/>
    <col min="11" max="11" width="15" style="3" bestFit="1" customWidth="1"/>
    <col min="12" max="13" width="7.140625" style="3" customWidth="1"/>
    <col min="14" max="14" width="9.7109375" style="3" customWidth="1"/>
    <col min="15" max="15" width="12.7109375" style="3" customWidth="1"/>
    <col min="16" max="16" width="7.140625" style="3" customWidth="1"/>
    <col min="17" max="17" width="9.85546875" style="3" customWidth="1"/>
    <col min="18" max="76" width="7.140625" style="3" customWidth="1"/>
    <col min="77" max="259" width="8.7109375" style="3"/>
    <col min="260" max="260" width="37.5703125" style="3" customWidth="1"/>
    <col min="261" max="261" width="12.5703125" style="3" customWidth="1"/>
    <col min="262" max="270" width="13.42578125" style="3" customWidth="1"/>
    <col min="271" max="515" width="8.7109375" style="3"/>
    <col min="516" max="516" width="37.5703125" style="3" customWidth="1"/>
    <col min="517" max="517" width="12.5703125" style="3" customWidth="1"/>
    <col min="518" max="526" width="13.42578125" style="3" customWidth="1"/>
    <col min="527" max="771" width="8.7109375" style="3"/>
    <col min="772" max="772" width="37.5703125" style="3" customWidth="1"/>
    <col min="773" max="773" width="12.5703125" style="3" customWidth="1"/>
    <col min="774" max="782" width="13.42578125" style="3" customWidth="1"/>
    <col min="783" max="1027" width="8.7109375" style="3"/>
    <col min="1028" max="1028" width="37.5703125" style="3" customWidth="1"/>
    <col min="1029" max="1029" width="12.5703125" style="3" customWidth="1"/>
    <col min="1030" max="1038" width="13.42578125" style="3" customWidth="1"/>
    <col min="1039" max="1283" width="8.7109375" style="3"/>
    <col min="1284" max="1284" width="37.5703125" style="3" customWidth="1"/>
    <col min="1285" max="1285" width="12.5703125" style="3" customWidth="1"/>
    <col min="1286" max="1294" width="13.42578125" style="3" customWidth="1"/>
    <col min="1295" max="1539" width="8.7109375" style="3"/>
    <col min="1540" max="1540" width="37.5703125" style="3" customWidth="1"/>
    <col min="1541" max="1541" width="12.5703125" style="3" customWidth="1"/>
    <col min="1542" max="1550" width="13.42578125" style="3" customWidth="1"/>
    <col min="1551" max="1795" width="8.7109375" style="3"/>
    <col min="1796" max="1796" width="37.5703125" style="3" customWidth="1"/>
    <col min="1797" max="1797" width="12.5703125" style="3" customWidth="1"/>
    <col min="1798" max="1806" width="13.42578125" style="3" customWidth="1"/>
    <col min="1807" max="2051" width="8.7109375" style="3"/>
    <col min="2052" max="2052" width="37.5703125" style="3" customWidth="1"/>
    <col min="2053" max="2053" width="12.5703125" style="3" customWidth="1"/>
    <col min="2054" max="2062" width="13.42578125" style="3" customWidth="1"/>
    <col min="2063" max="2307" width="8.7109375" style="3"/>
    <col min="2308" max="2308" width="37.5703125" style="3" customWidth="1"/>
    <col min="2309" max="2309" width="12.5703125" style="3" customWidth="1"/>
    <col min="2310" max="2318" width="13.42578125" style="3" customWidth="1"/>
    <col min="2319" max="2563" width="8.7109375" style="3"/>
    <col min="2564" max="2564" width="37.5703125" style="3" customWidth="1"/>
    <col min="2565" max="2565" width="12.5703125" style="3" customWidth="1"/>
    <col min="2566" max="2574" width="13.42578125" style="3" customWidth="1"/>
    <col min="2575" max="2819" width="8.7109375" style="3"/>
    <col min="2820" max="2820" width="37.5703125" style="3" customWidth="1"/>
    <col min="2821" max="2821" width="12.5703125" style="3" customWidth="1"/>
    <col min="2822" max="2830" width="13.42578125" style="3" customWidth="1"/>
    <col min="2831" max="3075" width="8.7109375" style="3"/>
    <col min="3076" max="3076" width="37.5703125" style="3" customWidth="1"/>
    <col min="3077" max="3077" width="12.5703125" style="3" customWidth="1"/>
    <col min="3078" max="3086" width="13.42578125" style="3" customWidth="1"/>
    <col min="3087" max="3331" width="8.7109375" style="3"/>
    <col min="3332" max="3332" width="37.5703125" style="3" customWidth="1"/>
    <col min="3333" max="3333" width="12.5703125" style="3" customWidth="1"/>
    <col min="3334" max="3342" width="13.42578125" style="3" customWidth="1"/>
    <col min="3343" max="3587" width="8.7109375" style="3"/>
    <col min="3588" max="3588" width="37.5703125" style="3" customWidth="1"/>
    <col min="3589" max="3589" width="12.5703125" style="3" customWidth="1"/>
    <col min="3590" max="3598" width="13.42578125" style="3" customWidth="1"/>
    <col min="3599" max="3843" width="8.7109375" style="3"/>
    <col min="3844" max="3844" width="37.5703125" style="3" customWidth="1"/>
    <col min="3845" max="3845" width="12.5703125" style="3" customWidth="1"/>
    <col min="3846" max="3854" width="13.42578125" style="3" customWidth="1"/>
    <col min="3855" max="4099" width="8.7109375" style="3"/>
    <col min="4100" max="4100" width="37.5703125" style="3" customWidth="1"/>
    <col min="4101" max="4101" width="12.5703125" style="3" customWidth="1"/>
    <col min="4102" max="4110" width="13.42578125" style="3" customWidth="1"/>
    <col min="4111" max="4355" width="8.7109375" style="3"/>
    <col min="4356" max="4356" width="37.5703125" style="3" customWidth="1"/>
    <col min="4357" max="4357" width="12.5703125" style="3" customWidth="1"/>
    <col min="4358" max="4366" width="13.42578125" style="3" customWidth="1"/>
    <col min="4367" max="4611" width="8.7109375" style="3"/>
    <col min="4612" max="4612" width="37.5703125" style="3" customWidth="1"/>
    <col min="4613" max="4613" width="12.5703125" style="3" customWidth="1"/>
    <col min="4614" max="4622" width="13.42578125" style="3" customWidth="1"/>
    <col min="4623" max="4867" width="8.7109375" style="3"/>
    <col min="4868" max="4868" width="37.5703125" style="3" customWidth="1"/>
    <col min="4869" max="4869" width="12.5703125" style="3" customWidth="1"/>
    <col min="4870" max="4878" width="13.42578125" style="3" customWidth="1"/>
    <col min="4879" max="5123" width="8.7109375" style="3"/>
    <col min="5124" max="5124" width="37.5703125" style="3" customWidth="1"/>
    <col min="5125" max="5125" width="12.5703125" style="3" customWidth="1"/>
    <col min="5126" max="5134" width="13.42578125" style="3" customWidth="1"/>
    <col min="5135" max="5379" width="8.7109375" style="3"/>
    <col min="5380" max="5380" width="37.5703125" style="3" customWidth="1"/>
    <col min="5381" max="5381" width="12.5703125" style="3" customWidth="1"/>
    <col min="5382" max="5390" width="13.42578125" style="3" customWidth="1"/>
    <col min="5391" max="5635" width="8.7109375" style="3"/>
    <col min="5636" max="5636" width="37.5703125" style="3" customWidth="1"/>
    <col min="5637" max="5637" width="12.5703125" style="3" customWidth="1"/>
    <col min="5638" max="5646" width="13.42578125" style="3" customWidth="1"/>
    <col min="5647" max="5891" width="8.7109375" style="3"/>
    <col min="5892" max="5892" width="37.5703125" style="3" customWidth="1"/>
    <col min="5893" max="5893" width="12.5703125" style="3" customWidth="1"/>
    <col min="5894" max="5902" width="13.42578125" style="3" customWidth="1"/>
    <col min="5903" max="6147" width="8.7109375" style="3"/>
    <col min="6148" max="6148" width="37.5703125" style="3" customWidth="1"/>
    <col min="6149" max="6149" width="12.5703125" style="3" customWidth="1"/>
    <col min="6150" max="6158" width="13.42578125" style="3" customWidth="1"/>
    <col min="6159" max="6403" width="8.7109375" style="3"/>
    <col min="6404" max="6404" width="37.5703125" style="3" customWidth="1"/>
    <col min="6405" max="6405" width="12.5703125" style="3" customWidth="1"/>
    <col min="6406" max="6414" width="13.42578125" style="3" customWidth="1"/>
    <col min="6415" max="6659" width="8.7109375" style="3"/>
    <col min="6660" max="6660" width="37.5703125" style="3" customWidth="1"/>
    <col min="6661" max="6661" width="12.5703125" style="3" customWidth="1"/>
    <col min="6662" max="6670" width="13.42578125" style="3" customWidth="1"/>
    <col min="6671" max="6915" width="8.7109375" style="3"/>
    <col min="6916" max="6916" width="37.5703125" style="3" customWidth="1"/>
    <col min="6917" max="6917" width="12.5703125" style="3" customWidth="1"/>
    <col min="6918" max="6926" width="13.42578125" style="3" customWidth="1"/>
    <col min="6927" max="7171" width="8.7109375" style="3"/>
    <col min="7172" max="7172" width="37.5703125" style="3" customWidth="1"/>
    <col min="7173" max="7173" width="12.5703125" style="3" customWidth="1"/>
    <col min="7174" max="7182" width="13.42578125" style="3" customWidth="1"/>
    <col min="7183" max="7427" width="8.7109375" style="3"/>
    <col min="7428" max="7428" width="37.5703125" style="3" customWidth="1"/>
    <col min="7429" max="7429" width="12.5703125" style="3" customWidth="1"/>
    <col min="7430" max="7438" width="13.42578125" style="3" customWidth="1"/>
    <col min="7439" max="7683" width="8.7109375" style="3"/>
    <col min="7684" max="7684" width="37.5703125" style="3" customWidth="1"/>
    <col min="7685" max="7685" width="12.5703125" style="3" customWidth="1"/>
    <col min="7686" max="7694" width="13.42578125" style="3" customWidth="1"/>
    <col min="7695" max="7939" width="8.7109375" style="3"/>
    <col min="7940" max="7940" width="37.5703125" style="3" customWidth="1"/>
    <col min="7941" max="7941" width="12.5703125" style="3" customWidth="1"/>
    <col min="7942" max="7950" width="13.42578125" style="3" customWidth="1"/>
    <col min="7951" max="8195" width="8.7109375" style="3"/>
    <col min="8196" max="8196" width="37.5703125" style="3" customWidth="1"/>
    <col min="8197" max="8197" width="12.5703125" style="3" customWidth="1"/>
    <col min="8198" max="8206" width="13.42578125" style="3" customWidth="1"/>
    <col min="8207" max="8451" width="8.7109375" style="3"/>
    <col min="8452" max="8452" width="37.5703125" style="3" customWidth="1"/>
    <col min="8453" max="8453" width="12.5703125" style="3" customWidth="1"/>
    <col min="8454" max="8462" width="13.42578125" style="3" customWidth="1"/>
    <col min="8463" max="8707" width="8.7109375" style="3"/>
    <col min="8708" max="8708" width="37.5703125" style="3" customWidth="1"/>
    <col min="8709" max="8709" width="12.5703125" style="3" customWidth="1"/>
    <col min="8710" max="8718" width="13.42578125" style="3" customWidth="1"/>
    <col min="8719" max="8963" width="8.7109375" style="3"/>
    <col min="8964" max="8964" width="37.5703125" style="3" customWidth="1"/>
    <col min="8965" max="8965" width="12.5703125" style="3" customWidth="1"/>
    <col min="8966" max="8974" width="13.42578125" style="3" customWidth="1"/>
    <col min="8975" max="9219" width="8.7109375" style="3"/>
    <col min="9220" max="9220" width="37.5703125" style="3" customWidth="1"/>
    <col min="9221" max="9221" width="12.5703125" style="3" customWidth="1"/>
    <col min="9222" max="9230" width="13.42578125" style="3" customWidth="1"/>
    <col min="9231" max="9475" width="8.7109375" style="3"/>
    <col min="9476" max="9476" width="37.5703125" style="3" customWidth="1"/>
    <col min="9477" max="9477" width="12.5703125" style="3" customWidth="1"/>
    <col min="9478" max="9486" width="13.42578125" style="3" customWidth="1"/>
    <col min="9487" max="9731" width="8.7109375" style="3"/>
    <col min="9732" max="9732" width="37.5703125" style="3" customWidth="1"/>
    <col min="9733" max="9733" width="12.5703125" style="3" customWidth="1"/>
    <col min="9734" max="9742" width="13.42578125" style="3" customWidth="1"/>
    <col min="9743" max="9987" width="8.7109375" style="3"/>
    <col min="9988" max="9988" width="37.5703125" style="3" customWidth="1"/>
    <col min="9989" max="9989" width="12.5703125" style="3" customWidth="1"/>
    <col min="9990" max="9998" width="13.42578125" style="3" customWidth="1"/>
    <col min="9999" max="10243" width="8.7109375" style="3"/>
    <col min="10244" max="10244" width="37.5703125" style="3" customWidth="1"/>
    <col min="10245" max="10245" width="12.5703125" style="3" customWidth="1"/>
    <col min="10246" max="10254" width="13.42578125" style="3" customWidth="1"/>
    <col min="10255" max="10499" width="8.7109375" style="3"/>
    <col min="10500" max="10500" width="37.5703125" style="3" customWidth="1"/>
    <col min="10501" max="10501" width="12.5703125" style="3" customWidth="1"/>
    <col min="10502" max="10510" width="13.42578125" style="3" customWidth="1"/>
    <col min="10511" max="10755" width="8.7109375" style="3"/>
    <col min="10756" max="10756" width="37.5703125" style="3" customWidth="1"/>
    <col min="10757" max="10757" width="12.5703125" style="3" customWidth="1"/>
    <col min="10758" max="10766" width="13.42578125" style="3" customWidth="1"/>
    <col min="10767" max="11011" width="8.7109375" style="3"/>
    <col min="11012" max="11012" width="37.5703125" style="3" customWidth="1"/>
    <col min="11013" max="11013" width="12.5703125" style="3" customWidth="1"/>
    <col min="11014" max="11022" width="13.42578125" style="3" customWidth="1"/>
    <col min="11023" max="11267" width="8.7109375" style="3"/>
    <col min="11268" max="11268" width="37.5703125" style="3" customWidth="1"/>
    <col min="11269" max="11269" width="12.5703125" style="3" customWidth="1"/>
    <col min="11270" max="11278" width="13.42578125" style="3" customWidth="1"/>
    <col min="11279" max="11523" width="8.7109375" style="3"/>
    <col min="11524" max="11524" width="37.5703125" style="3" customWidth="1"/>
    <col min="11525" max="11525" width="12.5703125" style="3" customWidth="1"/>
    <col min="11526" max="11534" width="13.42578125" style="3" customWidth="1"/>
    <col min="11535" max="11779" width="8.7109375" style="3"/>
    <col min="11780" max="11780" width="37.5703125" style="3" customWidth="1"/>
    <col min="11781" max="11781" width="12.5703125" style="3" customWidth="1"/>
    <col min="11782" max="11790" width="13.42578125" style="3" customWidth="1"/>
    <col min="11791" max="12035" width="8.7109375" style="3"/>
    <col min="12036" max="12036" width="37.5703125" style="3" customWidth="1"/>
    <col min="12037" max="12037" width="12.5703125" style="3" customWidth="1"/>
    <col min="12038" max="12046" width="13.42578125" style="3" customWidth="1"/>
    <col min="12047" max="12291" width="8.7109375" style="3"/>
    <col min="12292" max="12292" width="37.5703125" style="3" customWidth="1"/>
    <col min="12293" max="12293" width="12.5703125" style="3" customWidth="1"/>
    <col min="12294" max="12302" width="13.42578125" style="3" customWidth="1"/>
    <col min="12303" max="12547" width="8.7109375" style="3"/>
    <col min="12548" max="12548" width="37.5703125" style="3" customWidth="1"/>
    <col min="12549" max="12549" width="12.5703125" style="3" customWidth="1"/>
    <col min="12550" max="12558" width="13.42578125" style="3" customWidth="1"/>
    <col min="12559" max="12803" width="8.7109375" style="3"/>
    <col min="12804" max="12804" width="37.5703125" style="3" customWidth="1"/>
    <col min="12805" max="12805" width="12.5703125" style="3" customWidth="1"/>
    <col min="12806" max="12814" width="13.42578125" style="3" customWidth="1"/>
    <col min="12815" max="13059" width="8.7109375" style="3"/>
    <col min="13060" max="13060" width="37.5703125" style="3" customWidth="1"/>
    <col min="13061" max="13061" width="12.5703125" style="3" customWidth="1"/>
    <col min="13062" max="13070" width="13.42578125" style="3" customWidth="1"/>
    <col min="13071" max="13315" width="8.7109375" style="3"/>
    <col min="13316" max="13316" width="37.5703125" style="3" customWidth="1"/>
    <col min="13317" max="13317" width="12.5703125" style="3" customWidth="1"/>
    <col min="13318" max="13326" width="13.42578125" style="3" customWidth="1"/>
    <col min="13327" max="13571" width="8.7109375" style="3"/>
    <col min="13572" max="13572" width="37.5703125" style="3" customWidth="1"/>
    <col min="13573" max="13573" width="12.5703125" style="3" customWidth="1"/>
    <col min="13574" max="13582" width="13.42578125" style="3" customWidth="1"/>
    <col min="13583" max="13827" width="8.7109375" style="3"/>
    <col min="13828" max="13828" width="37.5703125" style="3" customWidth="1"/>
    <col min="13829" max="13829" width="12.5703125" style="3" customWidth="1"/>
    <col min="13830" max="13838" width="13.42578125" style="3" customWidth="1"/>
    <col min="13839" max="14083" width="8.7109375" style="3"/>
    <col min="14084" max="14084" width="37.5703125" style="3" customWidth="1"/>
    <col min="14085" max="14085" width="12.5703125" style="3" customWidth="1"/>
    <col min="14086" max="14094" width="13.42578125" style="3" customWidth="1"/>
    <col min="14095" max="14339" width="8.7109375" style="3"/>
    <col min="14340" max="14340" width="37.5703125" style="3" customWidth="1"/>
    <col min="14341" max="14341" width="12.5703125" style="3" customWidth="1"/>
    <col min="14342" max="14350" width="13.42578125" style="3" customWidth="1"/>
    <col min="14351" max="14595" width="8.7109375" style="3"/>
    <col min="14596" max="14596" width="37.5703125" style="3" customWidth="1"/>
    <col min="14597" max="14597" width="12.5703125" style="3" customWidth="1"/>
    <col min="14598" max="14606" width="13.42578125" style="3" customWidth="1"/>
    <col min="14607" max="14851" width="8.7109375" style="3"/>
    <col min="14852" max="14852" width="37.5703125" style="3" customWidth="1"/>
    <col min="14853" max="14853" width="12.5703125" style="3" customWidth="1"/>
    <col min="14854" max="14862" width="13.42578125" style="3" customWidth="1"/>
    <col min="14863" max="15107" width="8.7109375" style="3"/>
    <col min="15108" max="15108" width="37.5703125" style="3" customWidth="1"/>
    <col min="15109" max="15109" width="12.5703125" style="3" customWidth="1"/>
    <col min="15110" max="15118" width="13.42578125" style="3" customWidth="1"/>
    <col min="15119" max="15363" width="8.7109375" style="3"/>
    <col min="15364" max="15364" width="37.5703125" style="3" customWidth="1"/>
    <col min="15365" max="15365" width="12.5703125" style="3" customWidth="1"/>
    <col min="15366" max="15374" width="13.42578125" style="3" customWidth="1"/>
    <col min="15375" max="15619" width="8.7109375" style="3"/>
    <col min="15620" max="15620" width="37.5703125" style="3" customWidth="1"/>
    <col min="15621" max="15621" width="12.5703125" style="3" customWidth="1"/>
    <col min="15622" max="15630" width="13.42578125" style="3" customWidth="1"/>
    <col min="15631" max="15875" width="8.7109375" style="3"/>
    <col min="15876" max="15876" width="37.5703125" style="3" customWidth="1"/>
    <col min="15877" max="15877" width="12.5703125" style="3" customWidth="1"/>
    <col min="15878" max="15886" width="13.42578125" style="3" customWidth="1"/>
    <col min="15887" max="16131" width="8.7109375" style="3"/>
    <col min="16132" max="16132" width="37.5703125" style="3" customWidth="1"/>
    <col min="16133" max="16133" width="12.5703125" style="3" customWidth="1"/>
    <col min="16134" max="16142" width="13.42578125" style="3" customWidth="1"/>
    <col min="16143" max="16384" width="8.7109375" style="3"/>
  </cols>
  <sheetData>
    <row r="1" spans="1:76" ht="32.25">
      <c r="A1" s="1" t="s">
        <v>554</v>
      </c>
      <c r="B1" s="2"/>
      <c r="C1" s="2"/>
      <c r="D1" s="2"/>
      <c r="E1" s="2"/>
      <c r="F1" s="2"/>
      <c r="G1" s="2"/>
      <c r="H1" s="2"/>
      <c r="I1" s="2"/>
      <c r="J1" s="2"/>
      <c r="K1" s="2"/>
      <c r="L1" s="2"/>
      <c r="M1" s="2"/>
      <c r="N1" s="1"/>
      <c r="O1" s="1"/>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row>
    <row r="2" spans="1:76" s="13" customFormat="1" ht="21.6" customHeight="1">
      <c r="A2" s="4" t="s">
        <v>429</v>
      </c>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row>
    <row r="3" spans="1:76" s="13" customFormat="1" ht="9" customHeight="1"/>
    <row r="4" spans="1:76">
      <c r="H4" s="268"/>
    </row>
    <row r="5" spans="1:76" ht="23.25">
      <c r="B5" s="10" t="s">
        <v>555</v>
      </c>
      <c r="C5" s="10"/>
      <c r="D5" s="10"/>
      <c r="E5" s="10"/>
      <c r="F5" s="10"/>
      <c r="G5" s="10"/>
      <c r="H5" s="10"/>
      <c r="I5" s="10"/>
    </row>
    <row r="6" spans="1:76">
      <c r="B6" s="153"/>
      <c r="C6" s="153"/>
      <c r="D6" s="153" t="s">
        <v>519</v>
      </c>
      <c r="E6" s="153" t="s">
        <v>560</v>
      </c>
      <c r="F6" s="153" t="s">
        <v>561</v>
      </c>
      <c r="G6" s="153" t="s">
        <v>396</v>
      </c>
      <c r="H6" s="153" t="s">
        <v>562</v>
      </c>
      <c r="I6" s="153" t="s">
        <v>579</v>
      </c>
    </row>
    <row r="7" spans="1:76">
      <c r="B7"/>
      <c r="C7" t="s">
        <v>108</v>
      </c>
      <c r="D7" s="294">
        <f>npv_assets</f>
        <v>1400750.4196554585</v>
      </c>
      <c r="E7" s="295">
        <f>Overlay!I42</f>
        <v>1602.0289000000016</v>
      </c>
      <c r="F7" s="295">
        <f>SUM(D7:E7)</f>
        <v>1402352.4485554586</v>
      </c>
      <c r="G7" s="294">
        <f>npv_liab</f>
        <v>1221780.0936127508</v>
      </c>
      <c r="H7" s="361" t="b">
        <f>F7 &gt;= G7</f>
        <v>1</v>
      </c>
      <c r="I7" s="350">
        <v>1</v>
      </c>
    </row>
    <row r="8" spans="1:76">
      <c r="B8"/>
      <c r="C8" t="s">
        <v>510</v>
      </c>
      <c r="D8" s="298">
        <f>Assets!D10</f>
        <v>9.8757955077551518</v>
      </c>
      <c r="E8" s="298"/>
      <c r="F8" s="298"/>
      <c r="G8" s="345">
        <f>Liabilities!C14</f>
        <v>9.613621189732882</v>
      </c>
      <c r="H8"/>
      <c r="I8" s="350"/>
    </row>
    <row r="9" spans="1:76">
      <c r="B9"/>
      <c r="C9" t="s">
        <v>556</v>
      </c>
      <c r="D9" s="295">
        <f>D7 * D8 * 0.0001</f>
        <v>1383.3524701919521</v>
      </c>
      <c r="E9" s="295">
        <f>Overlay!B43</f>
        <v>-240.81994800000001</v>
      </c>
      <c r="F9" s="294">
        <f>SUM(D9:E9)</f>
        <v>1142.532522191952</v>
      </c>
      <c r="G9" s="295">
        <f>G7 * G8 * 0.0001</f>
        <v>1174.5730997149365</v>
      </c>
      <c r="H9" s="361" t="b">
        <f>ABS(F9-G9) &lt; 0.01</f>
        <v>0</v>
      </c>
      <c r="I9" s="350">
        <v>2</v>
      </c>
    </row>
    <row r="10" spans="1:76">
      <c r="B10"/>
      <c r="C10" t="s">
        <v>399</v>
      </c>
      <c r="D10" s="297">
        <f>Assets!E10</f>
        <v>252.66609787817816</v>
      </c>
      <c r="E10" s="298"/>
      <c r="F10" s="297">
        <f>SUM(D10:E10)</f>
        <v>252.66609787817816</v>
      </c>
      <c r="G10" s="345">
        <f>Liabilities!C15</f>
        <v>236.45347313433962</v>
      </c>
      <c r="H10" s="361" t="b">
        <f>AND( F10 &gt;= G10, (F10 - G10) &lt; D12)</f>
        <v>1</v>
      </c>
      <c r="I10" s="350">
        <v>3</v>
      </c>
    </row>
    <row r="11" spans="1:76" ht="14.45" customHeight="1"/>
    <row r="12" spans="1:76" hidden="1" outlineLevel="1">
      <c r="B12" t="s">
        <v>567</v>
      </c>
      <c r="C12"/>
      <c r="D12" s="346">
        <v>30</v>
      </c>
    </row>
    <row r="13" spans="1:76" ht="9" customHeight="1" collapsed="1">
      <c r="D13" s="314"/>
    </row>
    <row r="14" spans="1:76" ht="23.25">
      <c r="B14" s="10" t="s">
        <v>580</v>
      </c>
      <c r="C14" s="10"/>
      <c r="D14" s="10"/>
    </row>
    <row r="15" spans="1:76">
      <c r="B15"/>
      <c r="C15" t="s">
        <v>581</v>
      </c>
      <c r="D15" s="294">
        <f>F7-G7</f>
        <v>180572.35494270781</v>
      </c>
    </row>
    <row r="16" spans="1:76" hidden="1" outlineLevel="1">
      <c r="B16"/>
      <c r="C16" t="s">
        <v>582</v>
      </c>
      <c r="D16" s="351">
        <v>0</v>
      </c>
    </row>
    <row r="17" spans="2:12" hidden="1" outlineLevel="1">
      <c r="B17"/>
      <c r="C17" t="s">
        <v>584</v>
      </c>
      <c r="D17" s="294">
        <f xml:space="preserve"> ( (1 + (F10/2 * (D16 ^ 2) )  ) * F7 ) + (-F9 * D16 * 100 * 100)</f>
        <v>1402352.4485554586</v>
      </c>
    </row>
    <row r="18" spans="2:12" hidden="1" outlineLevel="1">
      <c r="B18"/>
      <c r="C18" t="s">
        <v>585</v>
      </c>
      <c r="D18" s="294">
        <f xml:space="preserve"> (1 + (- G8 * D16) + (G10/2 * (D16 ^ 2) )  ) * G7</f>
        <v>1221780.0936127508</v>
      </c>
    </row>
    <row r="19" spans="2:12" hidden="1" outlineLevel="1">
      <c r="B19"/>
      <c r="C19" t="s">
        <v>583</v>
      </c>
      <c r="D19" s="295">
        <f>D17-D18</f>
        <v>180572.35494270781</v>
      </c>
    </row>
    <row r="20" spans="2:12" collapsed="1">
      <c r="D20" s="314"/>
    </row>
    <row r="21" spans="2:12" ht="23.25" hidden="1" outlineLevel="1">
      <c r="B21" s="10" t="s">
        <v>588</v>
      </c>
      <c r="C21" s="10"/>
      <c r="D21" s="10"/>
      <c r="E21" s="10"/>
      <c r="F21" s="10"/>
      <c r="G21" s="10"/>
    </row>
    <row r="22" spans="2:12" hidden="1" outlineLevel="1">
      <c r="B22" t="s">
        <v>605</v>
      </c>
      <c r="C22" s="153" t="s">
        <v>587</v>
      </c>
      <c r="D22" s="153" t="s">
        <v>437</v>
      </c>
      <c r="E22" s="153" t="s">
        <v>604</v>
      </c>
      <c r="F22" s="153" t="s">
        <v>438</v>
      </c>
      <c r="G22" s="153" t="s">
        <v>574</v>
      </c>
    </row>
    <row r="23" spans="2:12" hidden="1" outlineLevel="1">
      <c r="B23">
        <v>1</v>
      </c>
      <c r="C23" s="307" t="s">
        <v>597</v>
      </c>
      <c r="D23" s="354">
        <f>og_x</f>
        <v>5.4399999999999997E-2</v>
      </c>
      <c r="E23" s="295">
        <f>og_np</f>
        <v>-2087793.7</v>
      </c>
      <c r="F23" s="295">
        <f>og_prem</f>
        <v>0</v>
      </c>
      <c r="G23" s="295">
        <f>Overlay!I32</f>
        <v>0</v>
      </c>
    </row>
    <row r="24" spans="2:12" hidden="1" outlineLevel="1">
      <c r="B24">
        <v>2</v>
      </c>
      <c r="C24" s="307" t="s">
        <v>597</v>
      </c>
      <c r="D24" s="354">
        <f>og_x_3</f>
        <v>4.9399999999999993E-2</v>
      </c>
      <c r="E24" s="295">
        <f>og_np_3</f>
        <v>-320405.78000000003</v>
      </c>
      <c r="F24" s="295">
        <f>Overlay!J38</f>
        <v>4.9399999999999993E-2</v>
      </c>
      <c r="G24" s="295">
        <f>Overlay!I38</f>
        <v>1602.0289000000016</v>
      </c>
      <c r="L24" s="313"/>
    </row>
    <row r="25" spans="2:12" hidden="1" outlineLevel="1"/>
    <row r="26" spans="2:12" hidden="1" outlineLevel="1"/>
    <row r="27" spans="2:12" hidden="1" outlineLevel="1">
      <c r="D27" s="268"/>
    </row>
    <row r="28" spans="2:12" hidden="1" outlineLevel="1">
      <c r="D28" s="268"/>
    </row>
    <row r="29" spans="2:12" collapsed="1">
      <c r="D29" s="347"/>
    </row>
    <row r="30" spans="2:12" ht="23.25">
      <c r="B30" s="10" t="s">
        <v>371</v>
      </c>
      <c r="C30" s="10"/>
      <c r="D30" s="10"/>
      <c r="E30" s="10"/>
      <c r="F30" s="10"/>
      <c r="G30" s="10"/>
      <c r="H30" s="10"/>
    </row>
    <row r="31" spans="2:12">
      <c r="B31" s="153"/>
      <c r="C31" s="153" t="s">
        <v>384</v>
      </c>
      <c r="D31" s="153" t="s">
        <v>618</v>
      </c>
      <c r="E31" t="s">
        <v>372</v>
      </c>
      <c r="F31" s="153" t="s">
        <v>382</v>
      </c>
      <c r="G31" s="153" t="s">
        <v>619</v>
      </c>
      <c r="H31" s="153" t="s">
        <v>620</v>
      </c>
    </row>
    <row r="32" spans="2:12">
      <c r="B32"/>
      <c r="C32" s="357">
        <v>1</v>
      </c>
      <c r="D32" s="366">
        <v>5.0000000000000001E-3</v>
      </c>
      <c r="E32" s="307">
        <v>0</v>
      </c>
      <c r="F32" s="310">
        <v>4.9399999999999999E-2</v>
      </c>
      <c r="G32" s="310">
        <f>F32+E32</f>
        <v>4.9399999999999999E-2</v>
      </c>
      <c r="H32" s="310">
        <f>G32+D32</f>
        <v>5.4399999999999997E-2</v>
      </c>
    </row>
    <row r="33" spans="2:8">
      <c r="B33"/>
      <c r="C33" s="357">
        <v>2</v>
      </c>
      <c r="D33" s="366">
        <v>5.0000000000000001E-3</v>
      </c>
      <c r="E33" s="307">
        <v>0</v>
      </c>
      <c r="F33" s="310">
        <v>4.5400000000000003E-2</v>
      </c>
      <c r="G33" s="310">
        <f t="shared" ref="G33:G38" si="0">F33+E33</f>
        <v>4.5400000000000003E-2</v>
      </c>
      <c r="H33" s="310">
        <f t="shared" ref="H33:H38" si="1">G33+D33</f>
        <v>5.04E-2</v>
      </c>
    </row>
    <row r="34" spans="2:8">
      <c r="B34"/>
      <c r="C34" s="357">
        <v>5</v>
      </c>
      <c r="D34" s="366">
        <v>5.0000000000000001E-3</v>
      </c>
      <c r="E34" s="307">
        <v>0</v>
      </c>
      <c r="F34" s="310">
        <v>4.1700000000000001E-2</v>
      </c>
      <c r="G34" s="310">
        <f t="shared" si="0"/>
        <v>4.1700000000000001E-2</v>
      </c>
      <c r="H34" s="310">
        <f t="shared" si="1"/>
        <v>4.6699999999999998E-2</v>
      </c>
    </row>
    <row r="35" spans="2:8">
      <c r="B35"/>
      <c r="C35" s="357">
        <v>10</v>
      </c>
      <c r="D35" s="366">
        <v>5.0000000000000001E-3</v>
      </c>
      <c r="E35" s="307">
        <v>0</v>
      </c>
      <c r="F35" s="310">
        <v>4.2000000000000003E-2</v>
      </c>
      <c r="G35" s="310">
        <f t="shared" si="0"/>
        <v>4.2000000000000003E-2</v>
      </c>
      <c r="H35" s="310">
        <f t="shared" si="1"/>
        <v>4.7E-2</v>
      </c>
    </row>
    <row r="36" spans="2:8">
      <c r="B36"/>
      <c r="C36" s="357">
        <v>20</v>
      </c>
      <c r="D36" s="366">
        <v>5.0000000000000001E-3</v>
      </c>
      <c r="E36" s="307">
        <v>0</v>
      </c>
      <c r="F36" s="310">
        <v>4.4600000000000001E-2</v>
      </c>
      <c r="G36" s="310">
        <f t="shared" si="0"/>
        <v>4.4600000000000001E-2</v>
      </c>
      <c r="H36" s="310">
        <f t="shared" si="1"/>
        <v>4.9599999999999998E-2</v>
      </c>
    </row>
    <row r="37" spans="2:8">
      <c r="B37"/>
      <c r="C37" s="357">
        <v>30</v>
      </c>
      <c r="D37" s="366">
        <v>5.0000000000000001E-3</v>
      </c>
      <c r="E37" s="307">
        <v>0</v>
      </c>
      <c r="F37" s="310">
        <v>4.3299999999999998E-2</v>
      </c>
      <c r="G37" s="310">
        <f t="shared" si="0"/>
        <v>4.3299999999999998E-2</v>
      </c>
      <c r="H37" s="310">
        <f t="shared" si="1"/>
        <v>4.8299999999999996E-2</v>
      </c>
    </row>
    <row r="38" spans="2:8">
      <c r="B38"/>
      <c r="C38" s="357">
        <v>100</v>
      </c>
      <c r="D38" s="366">
        <v>5.0000000000000001E-3</v>
      </c>
      <c r="E38" s="307">
        <v>0</v>
      </c>
      <c r="F38" s="354">
        <v>4.4999999999999998E-2</v>
      </c>
      <c r="G38" s="310">
        <f t="shared" si="0"/>
        <v>4.4999999999999998E-2</v>
      </c>
      <c r="H38" s="310">
        <f t="shared" si="1"/>
        <v>4.9999999999999996E-2</v>
      </c>
    </row>
    <row r="39" spans="2:8" ht="10.5" customHeight="1"/>
  </sheetData>
  <conditionalFormatting sqref="D15">
    <cfRule type="cellIs" dxfId="41" priority="7" operator="lessThan">
      <formula>0</formula>
    </cfRule>
    <cfRule type="cellIs" dxfId="40" priority="8" operator="greaterThan">
      <formula>0</formula>
    </cfRule>
  </conditionalFormatting>
  <conditionalFormatting sqref="H7">
    <cfRule type="cellIs" dxfId="39" priority="3" operator="equal">
      <formula>FALSE</formula>
    </cfRule>
    <cfRule type="cellIs" dxfId="38" priority="4" operator="equal">
      <formula>TRUE</formula>
    </cfRule>
  </conditionalFormatting>
  <conditionalFormatting sqref="H9:H10">
    <cfRule type="cellIs" dxfId="37" priority="1" operator="equal">
      <formula>FALSE</formula>
    </cfRule>
    <cfRule type="cellIs" dxfId="36" priority="2" operator="equal">
      <formula>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1008" r:id="rId4" name="Button 16">
              <controlPr defaultSize="0" print="0" autoFill="0" autoPict="0" macro="[0]!effective_duration_calc">
                <anchor moveWithCells="1" sizeWithCells="1">
                  <from>
                    <xdr:col>4</xdr:col>
                    <xdr:colOff>314325</xdr:colOff>
                    <xdr:row>13</xdr:row>
                    <xdr:rowOff>57150</xdr:rowOff>
                  </from>
                  <to>
                    <xdr:col>6</xdr:col>
                    <xdr:colOff>161925</xdr:colOff>
                    <xdr:row>13</xdr:row>
                    <xdr:rowOff>285750</xdr:rowOff>
                  </to>
                </anchor>
              </controlPr>
            </control>
          </mc:Choice>
        </mc:AlternateContent>
        <mc:AlternateContent xmlns:mc="http://schemas.openxmlformats.org/markup-compatibility/2006">
          <mc:Choice Requires="x14">
            <control shapeId="341040" r:id="rId5" name="Button 48">
              <controlPr defaultSize="0" print="0" autoFill="0" autoPict="0" macro="[0]!set_overlay_one">
                <anchor moveWithCells="1" sizeWithCells="1">
                  <from>
                    <xdr:col>2</xdr:col>
                    <xdr:colOff>66675</xdr:colOff>
                    <xdr:row>25</xdr:row>
                    <xdr:rowOff>57150</xdr:rowOff>
                  </from>
                  <to>
                    <xdr:col>2</xdr:col>
                    <xdr:colOff>1162050</xdr:colOff>
                    <xdr:row>26</xdr:row>
                    <xdr:rowOff>123825</xdr:rowOff>
                  </to>
                </anchor>
              </controlPr>
            </control>
          </mc:Choice>
        </mc:AlternateContent>
        <mc:AlternateContent xmlns:mc="http://schemas.openxmlformats.org/markup-compatibility/2006">
          <mc:Choice Requires="x14">
            <control shapeId="341057" r:id="rId6" name="Button 65">
              <controlPr defaultSize="0" print="0" autoFill="0" autoPict="0" macro="[0]!set_overlay_two">
                <anchor moveWithCells="1" sizeWithCells="1">
                  <from>
                    <xdr:col>2</xdr:col>
                    <xdr:colOff>1466850</xdr:colOff>
                    <xdr:row>25</xdr:row>
                    <xdr:rowOff>66675</xdr:rowOff>
                  </from>
                  <to>
                    <xdr:col>3</xdr:col>
                    <xdr:colOff>1028700</xdr:colOff>
                    <xdr:row>26</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EDE588E-01A2-47AF-AB32-58BCA0931C61}">
          <x14:formula1>
            <xm:f>Overlay!$A$20:$A$23</xm:f>
          </x14:formula1>
          <xm:sqref>C23:C24</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97046-5E83-4901-998D-4ED2934C6375}">
  <sheetPr codeName="Sheet34">
    <tabColor theme="9"/>
  </sheetPr>
  <dimension ref="A1:GI68"/>
  <sheetViews>
    <sheetView showGridLines="0" zoomScaleNormal="100" workbookViewId="0">
      <pane xSplit="10" ySplit="5" topLeftCell="FX6" activePane="bottomRight" state="frozen"/>
      <selection activeCell="B22" sqref="B22:D22"/>
      <selection pane="topRight" activeCell="B22" sqref="B22:D22"/>
      <selection pane="bottomLeft" activeCell="B22" sqref="B22:D22"/>
      <selection pane="bottomRight" activeCell="CC16" sqref="CC16:GI16"/>
    </sheetView>
  </sheetViews>
  <sheetFormatPr defaultColWidth="9.140625" defaultRowHeight="14.25" outlineLevelCol="1"/>
  <cols>
    <col min="1" max="1" width="9.42578125" style="13" customWidth="1"/>
    <col min="2" max="2" width="19.7109375" style="13" bestFit="1" customWidth="1"/>
    <col min="3" max="3" width="5.7109375" style="13" bestFit="1" customWidth="1"/>
    <col min="4" max="4" width="9.140625" style="13" bestFit="1" customWidth="1"/>
    <col min="5" max="5" width="11.42578125" style="13" bestFit="1" customWidth="1"/>
    <col min="6" max="6" width="14.85546875" style="13" bestFit="1" customWidth="1"/>
    <col min="7" max="8" width="18.28515625" style="13" bestFit="1" customWidth="1"/>
    <col min="9" max="9" width="18.85546875" style="13" bestFit="1" customWidth="1"/>
    <col min="10" max="10" width="18.7109375" style="13" customWidth="1"/>
    <col min="11" max="11" width="2.85546875" style="13" customWidth="1"/>
    <col min="12" max="13" width="9.28515625" style="13" customWidth="1" outlineLevel="1"/>
    <col min="14" max="14" width="10.140625" style="13" customWidth="1" outlineLevel="1"/>
    <col min="15" max="15" width="11.5703125" style="13" customWidth="1" outlineLevel="1"/>
    <col min="16" max="30" width="10.140625" style="13" customWidth="1" outlineLevel="1"/>
    <col min="31" max="31" width="13.140625" style="13" customWidth="1" outlineLevel="1"/>
    <col min="32" max="72" width="10.140625" style="13" customWidth="1" outlineLevel="1"/>
    <col min="73" max="73" width="13.42578125" style="13" customWidth="1" outlineLevel="1"/>
    <col min="74" max="79" width="10.140625" style="13" customWidth="1" outlineLevel="1"/>
    <col min="80" max="80" width="9.140625" style="13"/>
    <col min="81" max="81" width="10.85546875" style="13" customWidth="1" outlineLevel="1"/>
    <col min="82" max="141" width="10.140625" style="13" customWidth="1" outlineLevel="1"/>
    <col min="142" max="142" width="13.42578125" style="13" customWidth="1" outlineLevel="1"/>
    <col min="143" max="191" width="10.140625" style="13" customWidth="1" outlineLevel="1"/>
    <col min="192" max="16384" width="9.140625" style="13"/>
  </cols>
  <sheetData>
    <row r="1" spans="1:191" s="3" customFormat="1" ht="32.25">
      <c r="A1" s="13"/>
      <c r="B1" s="1" t="s">
        <v>494</v>
      </c>
      <c r="C1" s="1"/>
      <c r="D1" s="1"/>
      <c r="E1" s="1"/>
      <c r="F1" s="1"/>
      <c r="G1" s="1"/>
      <c r="H1" s="1"/>
      <c r="I1" s="1"/>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row>
    <row r="2" spans="1:191" s="3" customFormat="1" ht="23.25">
      <c r="A2" s="13"/>
      <c r="B2" s="4" t="s">
        <v>429</v>
      </c>
      <c r="C2" s="4"/>
      <c r="D2" s="4"/>
      <c r="E2" s="4"/>
      <c r="F2" s="4"/>
      <c r="G2" s="4"/>
      <c r="H2" s="4"/>
      <c r="I2" s="4"/>
      <c r="J2" s="2"/>
      <c r="K2" s="37"/>
      <c r="L2" s="155" t="s">
        <v>516</v>
      </c>
      <c r="M2" s="37"/>
      <c r="N2" s="37"/>
      <c r="O2" s="37"/>
      <c r="P2" s="37"/>
      <c r="Q2" s="37"/>
      <c r="R2" s="37"/>
      <c r="S2" s="37"/>
      <c r="T2" s="37"/>
      <c r="U2" s="37"/>
      <c r="V2" s="37"/>
      <c r="W2" s="37"/>
      <c r="X2" s="37"/>
      <c r="Y2" s="37"/>
      <c r="Z2" s="37"/>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C2" s="155"/>
      <c r="CD2" s="37"/>
      <c r="CE2" s="37"/>
      <c r="CF2" s="37"/>
      <c r="CG2" s="37"/>
      <c r="CH2" s="37"/>
      <c r="CI2" s="37"/>
      <c r="CJ2" s="37"/>
      <c r="CK2" s="37"/>
      <c r="CL2" s="37"/>
      <c r="CM2" s="37"/>
      <c r="CN2" s="37"/>
      <c r="CO2" s="37"/>
      <c r="CP2" s="37"/>
      <c r="CQ2" s="37"/>
      <c r="CR2" s="2"/>
      <c r="CS2" s="2"/>
      <c r="CT2" s="2"/>
      <c r="CU2" s="2"/>
      <c r="CV2" s="2"/>
      <c r="CW2" s="2"/>
      <c r="CX2" s="2"/>
      <c r="CY2" s="2"/>
      <c r="CZ2" s="2"/>
      <c r="DA2" s="2"/>
      <c r="DB2" s="2"/>
      <c r="DC2" s="2"/>
      <c r="DD2" s="2"/>
      <c r="DE2" s="2"/>
      <c r="DF2" s="2"/>
      <c r="DG2" s="2"/>
      <c r="DH2" s="2"/>
      <c r="DI2" s="2"/>
      <c r="DJ2" s="2"/>
      <c r="DK2" s="2"/>
      <c r="DL2" s="2"/>
      <c r="DM2" s="2"/>
      <c r="DN2" s="2"/>
      <c r="DO2" s="2"/>
      <c r="DP2" s="2"/>
      <c r="DQ2" s="2"/>
      <c r="DR2" s="2"/>
      <c r="DS2" s="2"/>
      <c r="DT2" s="2"/>
      <c r="DU2" s="2"/>
      <c r="DV2" s="2"/>
      <c r="DW2" s="2"/>
      <c r="DX2" s="2"/>
      <c r="DY2" s="2"/>
      <c r="DZ2" s="2"/>
      <c r="EA2" s="2"/>
      <c r="EB2" s="2"/>
      <c r="EC2" s="2"/>
      <c r="ED2" s="2"/>
      <c r="EE2" s="2"/>
      <c r="EF2" s="2"/>
      <c r="EG2" s="2"/>
      <c r="EH2" s="2"/>
      <c r="EI2" s="2"/>
      <c r="EJ2" s="2"/>
      <c r="EK2" s="2"/>
      <c r="EL2" s="2"/>
      <c r="EM2" s="2"/>
      <c r="EN2" s="2"/>
      <c r="EO2" s="2"/>
      <c r="EP2" s="2"/>
      <c r="EQ2" s="2"/>
      <c r="ER2" s="2"/>
      <c r="ES2" s="2"/>
      <c r="ET2" s="2"/>
      <c r="EU2" s="2"/>
      <c r="EV2" s="2"/>
      <c r="EW2" s="2"/>
      <c r="EX2" s="2"/>
      <c r="EY2" s="2"/>
      <c r="EZ2" s="2"/>
      <c r="FA2" s="2"/>
      <c r="FB2" s="2"/>
      <c r="FC2" s="2"/>
      <c r="FD2" s="2"/>
      <c r="FE2" s="2"/>
      <c r="FF2" s="2"/>
      <c r="FG2" s="2"/>
      <c r="FH2" s="2"/>
      <c r="FI2" s="2"/>
      <c r="FJ2" s="2"/>
      <c r="FK2" s="2"/>
      <c r="FL2" s="2"/>
      <c r="FM2" s="2"/>
      <c r="FN2" s="2"/>
      <c r="FO2" s="2"/>
      <c r="FP2" s="2"/>
      <c r="FQ2" s="2"/>
      <c r="FR2" s="2"/>
      <c r="FS2" s="2"/>
      <c r="FT2" s="2"/>
      <c r="FU2" s="2"/>
      <c r="FV2" s="2"/>
      <c r="FW2" s="2"/>
      <c r="FX2" s="2"/>
      <c r="FY2" s="2"/>
      <c r="FZ2" s="2"/>
      <c r="GA2" s="2"/>
      <c r="GB2" s="2"/>
      <c r="GC2" s="2"/>
      <c r="GD2" s="2"/>
      <c r="GE2" s="2"/>
      <c r="GF2" s="2"/>
      <c r="GG2" s="2"/>
      <c r="GH2" s="2"/>
      <c r="GI2" s="2"/>
    </row>
    <row r="3" spans="1:191" ht="23.25">
      <c r="B3" s="89"/>
      <c r="C3" s="89"/>
      <c r="D3" s="89"/>
      <c r="E3" s="89"/>
      <c r="F3" s="89"/>
      <c r="G3" s="89"/>
      <c r="H3" s="89"/>
      <c r="I3" s="89"/>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C3" s="12"/>
      <c r="CD3" s="12"/>
      <c r="CE3" s="12"/>
      <c r="CF3" s="12"/>
      <c r="CG3" s="12"/>
      <c r="CH3" s="12"/>
      <c r="CI3" s="12"/>
      <c r="CJ3" s="12"/>
      <c r="CK3" s="12"/>
      <c r="CL3" s="12"/>
      <c r="CM3" s="12"/>
      <c r="CN3" s="12"/>
      <c r="CO3" s="12"/>
      <c r="CP3" s="12"/>
      <c r="CQ3" s="12"/>
      <c r="CR3" s="12"/>
      <c r="CS3" s="12"/>
      <c r="CT3" s="12"/>
      <c r="CU3" s="12"/>
      <c r="CV3" s="12"/>
      <c r="CW3" s="12"/>
      <c r="CX3" s="12"/>
      <c r="CY3" s="12"/>
      <c r="CZ3" s="12"/>
      <c r="DA3" s="12"/>
      <c r="DB3" s="12"/>
      <c r="DC3" s="12"/>
      <c r="DD3" s="12"/>
      <c r="DE3" s="12"/>
      <c r="DF3" s="12"/>
      <c r="DG3" s="12"/>
      <c r="DH3" s="12"/>
      <c r="DI3" s="12"/>
      <c r="DJ3" s="12"/>
      <c r="DK3" s="12"/>
      <c r="DL3" s="12"/>
      <c r="DM3" s="12"/>
      <c r="DN3" s="12"/>
      <c r="DO3" s="12"/>
      <c r="DP3" s="12"/>
      <c r="DQ3" s="12"/>
      <c r="DR3" s="12"/>
      <c r="DS3" s="12"/>
      <c r="DT3" s="12"/>
      <c r="DU3" s="12"/>
      <c r="DV3" s="12"/>
      <c r="DW3" s="12"/>
      <c r="DX3" s="12"/>
      <c r="DY3" s="12"/>
      <c r="DZ3" s="12"/>
      <c r="EA3" s="12"/>
      <c r="EB3" s="12"/>
      <c r="EC3" s="12"/>
      <c r="ED3" s="12"/>
      <c r="EE3" s="12"/>
      <c r="EF3" s="12"/>
      <c r="EG3" s="12"/>
      <c r="EH3" s="12"/>
      <c r="EI3" s="12"/>
      <c r="EJ3" s="12"/>
      <c r="EK3" s="12"/>
      <c r="EL3" s="12"/>
      <c r="EM3" s="12"/>
      <c r="EN3" s="12"/>
      <c r="EO3" s="12"/>
      <c r="EP3" s="12"/>
      <c r="EQ3" s="12"/>
      <c r="ER3" s="12"/>
      <c r="ES3" s="12"/>
      <c r="ET3" s="12"/>
      <c r="EU3" s="12"/>
      <c r="EV3" s="12"/>
      <c r="EW3" s="12"/>
      <c r="EX3" s="12"/>
      <c r="EY3" s="12"/>
      <c r="EZ3" s="12"/>
      <c r="FA3" s="12"/>
      <c r="FB3" s="12"/>
      <c r="FC3" s="12"/>
      <c r="FD3" s="12"/>
      <c r="FE3" s="12"/>
      <c r="FF3" s="12"/>
      <c r="FG3" s="12"/>
      <c r="FH3" s="12"/>
      <c r="FI3" s="12"/>
      <c r="FJ3" s="12"/>
      <c r="FK3" s="12"/>
      <c r="FL3" s="12"/>
      <c r="FM3" s="12"/>
      <c r="FN3" s="12"/>
      <c r="FO3" s="12"/>
      <c r="FP3" s="12"/>
      <c r="FQ3" s="12"/>
      <c r="FR3" s="12"/>
      <c r="FS3" s="12"/>
      <c r="FT3" s="12"/>
      <c r="FU3" s="12"/>
      <c r="FV3" s="12"/>
      <c r="FW3" s="12"/>
      <c r="FX3" s="12"/>
      <c r="FY3" s="12"/>
      <c r="FZ3" s="12"/>
      <c r="GA3" s="12"/>
      <c r="GB3" s="12"/>
      <c r="GC3" s="12"/>
      <c r="GD3" s="12"/>
      <c r="GE3" s="12"/>
      <c r="GF3" s="12"/>
      <c r="GG3" s="12"/>
      <c r="GH3" s="12"/>
      <c r="GI3" s="12"/>
    </row>
    <row r="4" spans="1:191" ht="15">
      <c r="B4" s="12"/>
      <c r="C4" s="12"/>
      <c r="D4" s="12"/>
      <c r="E4" s="12"/>
      <c r="F4" s="12"/>
      <c r="G4" s="12"/>
      <c r="H4" s="12"/>
      <c r="I4" s="12"/>
      <c r="J4" s="114"/>
      <c r="K4" s="12"/>
      <c r="L4" s="155" t="s">
        <v>495</v>
      </c>
      <c r="M4" s="102"/>
      <c r="N4" s="102"/>
      <c r="O4" s="102"/>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2"/>
      <c r="AV4" s="102"/>
      <c r="AW4" s="102"/>
      <c r="AX4" s="102"/>
      <c r="AY4" s="102"/>
      <c r="AZ4" s="102"/>
      <c r="BA4" s="102"/>
      <c r="BB4" s="102"/>
      <c r="BC4" s="102"/>
      <c r="BD4" s="102"/>
      <c r="BE4" s="102"/>
      <c r="BF4" s="102"/>
      <c r="BG4" s="102"/>
      <c r="BH4" s="102"/>
      <c r="BI4" s="102"/>
      <c r="BJ4" s="102"/>
      <c r="BK4" s="102"/>
      <c r="BL4" s="102"/>
      <c r="BM4" s="102"/>
      <c r="BN4" s="102"/>
      <c r="BO4" s="102"/>
      <c r="BP4" s="102"/>
      <c r="BQ4" s="102"/>
      <c r="BR4" s="102"/>
      <c r="BS4" s="102"/>
      <c r="BT4" s="102"/>
      <c r="BU4" s="102"/>
      <c r="BV4" s="102"/>
      <c r="BW4" s="102"/>
      <c r="BX4" s="102"/>
      <c r="BY4" s="102"/>
      <c r="BZ4" s="102"/>
      <c r="CA4" s="102"/>
      <c r="CC4" s="155" t="s">
        <v>496</v>
      </c>
      <c r="CD4" s="102"/>
      <c r="CE4" s="102"/>
      <c r="CF4" s="102"/>
      <c r="CG4" s="102"/>
      <c r="CH4" s="102"/>
      <c r="CI4" s="102"/>
      <c r="CJ4" s="102"/>
      <c r="CK4" s="102"/>
      <c r="CL4" s="102"/>
      <c r="CM4" s="102"/>
      <c r="CN4" s="102"/>
      <c r="CO4" s="102"/>
      <c r="CP4" s="102"/>
      <c r="CQ4" s="102"/>
      <c r="CR4" s="102"/>
      <c r="CS4" s="102"/>
      <c r="CT4" s="102"/>
      <c r="CU4" s="102"/>
      <c r="CV4" s="102"/>
      <c r="CW4" s="102"/>
      <c r="CX4" s="102"/>
      <c r="CY4" s="102"/>
      <c r="CZ4" s="102"/>
      <c r="DA4" s="102"/>
      <c r="DB4" s="102"/>
      <c r="DC4" s="102"/>
      <c r="DD4" s="102"/>
      <c r="DE4" s="102"/>
      <c r="DF4" s="102"/>
      <c r="DG4" s="102"/>
      <c r="DH4" s="102"/>
      <c r="DI4" s="102"/>
      <c r="DJ4" s="102"/>
      <c r="DK4" s="102"/>
      <c r="DL4" s="102"/>
      <c r="DM4" s="102"/>
      <c r="DN4" s="102"/>
      <c r="DO4" s="102"/>
      <c r="DP4" s="102"/>
      <c r="DQ4" s="102"/>
      <c r="DR4" s="102"/>
      <c r="DS4" s="102"/>
      <c r="DT4" s="102"/>
      <c r="DU4" s="102"/>
      <c r="DV4" s="102"/>
      <c r="DW4" s="102"/>
      <c r="DX4" s="102"/>
      <c r="DY4" s="102"/>
      <c r="DZ4" s="102"/>
      <c r="EA4" s="102"/>
      <c r="EB4" s="102"/>
      <c r="EC4" s="102"/>
      <c r="ED4" s="102"/>
      <c r="EE4" s="102"/>
      <c r="EF4" s="102"/>
      <c r="EG4" s="102"/>
      <c r="EH4" s="102"/>
      <c r="EI4" s="102"/>
      <c r="EJ4" s="102"/>
      <c r="EK4" s="102"/>
      <c r="EL4" s="102"/>
      <c r="EM4" s="102"/>
      <c r="EN4" s="102"/>
      <c r="EO4" s="102"/>
      <c r="EP4" s="102"/>
      <c r="EQ4" s="102"/>
      <c r="ER4" s="102"/>
      <c r="ES4" s="102"/>
      <c r="ET4" s="102"/>
      <c r="EU4" s="102"/>
      <c r="EV4" s="102"/>
      <c r="EW4" s="102"/>
      <c r="EX4" s="102"/>
      <c r="EY4" s="102"/>
      <c r="EZ4" s="102"/>
      <c r="FA4" s="102"/>
      <c r="FB4" s="102"/>
      <c r="FC4" s="102"/>
      <c r="FD4" s="102"/>
      <c r="FE4" s="102"/>
      <c r="FF4" s="102"/>
      <c r="FG4" s="102"/>
      <c r="FH4" s="102"/>
      <c r="FI4" s="102"/>
      <c r="FJ4" s="102"/>
      <c r="FK4" s="102"/>
      <c r="FL4" s="102"/>
      <c r="FM4" s="102"/>
      <c r="FN4" s="102"/>
      <c r="FO4" s="102"/>
      <c r="FP4" s="102"/>
      <c r="FQ4" s="102"/>
      <c r="FR4" s="102"/>
      <c r="FS4" s="102"/>
      <c r="FT4" s="102"/>
      <c r="FU4" s="102"/>
      <c r="FV4" s="102"/>
      <c r="FW4" s="102"/>
      <c r="FX4" s="102"/>
      <c r="FY4" s="102"/>
      <c r="FZ4" s="102"/>
      <c r="GA4" s="102"/>
      <c r="GB4" s="102"/>
      <c r="GC4" s="102"/>
      <c r="GD4" s="102"/>
      <c r="GE4" s="102"/>
      <c r="GF4" s="102"/>
      <c r="GG4" s="102"/>
      <c r="GH4" s="102"/>
      <c r="GI4" s="102"/>
    </row>
    <row r="5" spans="1:191" ht="15.75" thickBot="1">
      <c r="B5" s="12" t="s">
        <v>488</v>
      </c>
      <c r="C5" s="12" t="s">
        <v>489</v>
      </c>
      <c r="D5" s="12" t="s">
        <v>490</v>
      </c>
      <c r="E5" s="12" t="s">
        <v>491</v>
      </c>
      <c r="F5" s="12" t="s">
        <v>492</v>
      </c>
      <c r="G5" s="12" t="s">
        <v>493</v>
      </c>
      <c r="H5" s="12" t="s">
        <v>485</v>
      </c>
      <c r="I5" s="12" t="s">
        <v>607</v>
      </c>
      <c r="J5" s="125" t="s">
        <v>536</v>
      </c>
      <c r="K5" s="125"/>
      <c r="L5" s="125">
        <v>2023</v>
      </c>
      <c r="M5" s="125">
        <f>L5+1</f>
        <v>2024</v>
      </c>
      <c r="N5" s="125">
        <f t="shared" ref="N5:BV5" si="0">M5+1</f>
        <v>2025</v>
      </c>
      <c r="O5" s="125">
        <f t="shared" si="0"/>
        <v>2026</v>
      </c>
      <c r="P5" s="125">
        <f t="shared" si="0"/>
        <v>2027</v>
      </c>
      <c r="Q5" s="125">
        <f t="shared" si="0"/>
        <v>2028</v>
      </c>
      <c r="R5" s="125">
        <f t="shared" si="0"/>
        <v>2029</v>
      </c>
      <c r="S5" s="125">
        <f t="shared" si="0"/>
        <v>2030</v>
      </c>
      <c r="T5" s="125">
        <f t="shared" si="0"/>
        <v>2031</v>
      </c>
      <c r="U5" s="125">
        <f t="shared" si="0"/>
        <v>2032</v>
      </c>
      <c r="V5" s="125">
        <f t="shared" si="0"/>
        <v>2033</v>
      </c>
      <c r="W5" s="125">
        <f t="shared" si="0"/>
        <v>2034</v>
      </c>
      <c r="X5" s="125">
        <f t="shared" si="0"/>
        <v>2035</v>
      </c>
      <c r="Y5" s="125">
        <f t="shared" si="0"/>
        <v>2036</v>
      </c>
      <c r="Z5" s="125">
        <f t="shared" si="0"/>
        <v>2037</v>
      </c>
      <c r="AA5" s="125">
        <f t="shared" si="0"/>
        <v>2038</v>
      </c>
      <c r="AB5" s="125">
        <f t="shared" si="0"/>
        <v>2039</v>
      </c>
      <c r="AC5" s="125">
        <f t="shared" si="0"/>
        <v>2040</v>
      </c>
      <c r="AD5" s="125">
        <f t="shared" si="0"/>
        <v>2041</v>
      </c>
      <c r="AE5" s="125">
        <f t="shared" si="0"/>
        <v>2042</v>
      </c>
      <c r="AF5" s="125">
        <f t="shared" si="0"/>
        <v>2043</v>
      </c>
      <c r="AG5" s="125">
        <f t="shared" si="0"/>
        <v>2044</v>
      </c>
      <c r="AH5" s="125">
        <f t="shared" si="0"/>
        <v>2045</v>
      </c>
      <c r="AI5" s="125">
        <f t="shared" si="0"/>
        <v>2046</v>
      </c>
      <c r="AJ5" s="125">
        <f t="shared" si="0"/>
        <v>2047</v>
      </c>
      <c r="AK5" s="125">
        <f t="shared" si="0"/>
        <v>2048</v>
      </c>
      <c r="AL5" s="125">
        <f t="shared" si="0"/>
        <v>2049</v>
      </c>
      <c r="AM5" s="125">
        <f t="shared" si="0"/>
        <v>2050</v>
      </c>
      <c r="AN5" s="125">
        <f t="shared" si="0"/>
        <v>2051</v>
      </c>
      <c r="AO5" s="125">
        <f t="shared" si="0"/>
        <v>2052</v>
      </c>
      <c r="AP5" s="125">
        <f t="shared" si="0"/>
        <v>2053</v>
      </c>
      <c r="AQ5" s="125">
        <f t="shared" si="0"/>
        <v>2054</v>
      </c>
      <c r="AR5" s="125">
        <f t="shared" si="0"/>
        <v>2055</v>
      </c>
      <c r="AS5" s="125">
        <f t="shared" si="0"/>
        <v>2056</v>
      </c>
      <c r="AT5" s="125">
        <f t="shared" si="0"/>
        <v>2057</v>
      </c>
      <c r="AU5" s="125">
        <f t="shared" si="0"/>
        <v>2058</v>
      </c>
      <c r="AV5" s="125">
        <f t="shared" si="0"/>
        <v>2059</v>
      </c>
      <c r="AW5" s="125">
        <f t="shared" si="0"/>
        <v>2060</v>
      </c>
      <c r="AX5" s="125">
        <f t="shared" si="0"/>
        <v>2061</v>
      </c>
      <c r="AY5" s="125">
        <f t="shared" si="0"/>
        <v>2062</v>
      </c>
      <c r="AZ5" s="125">
        <f t="shared" si="0"/>
        <v>2063</v>
      </c>
      <c r="BA5" s="125">
        <f t="shared" si="0"/>
        <v>2064</v>
      </c>
      <c r="BB5" s="125">
        <f t="shared" si="0"/>
        <v>2065</v>
      </c>
      <c r="BC5" s="125">
        <f t="shared" si="0"/>
        <v>2066</v>
      </c>
      <c r="BD5" s="125">
        <f t="shared" si="0"/>
        <v>2067</v>
      </c>
      <c r="BE5" s="125">
        <f t="shared" si="0"/>
        <v>2068</v>
      </c>
      <c r="BF5" s="125">
        <f t="shared" si="0"/>
        <v>2069</v>
      </c>
      <c r="BG5" s="125">
        <f t="shared" si="0"/>
        <v>2070</v>
      </c>
      <c r="BH5" s="125">
        <f t="shared" si="0"/>
        <v>2071</v>
      </c>
      <c r="BI5" s="125">
        <f t="shared" si="0"/>
        <v>2072</v>
      </c>
      <c r="BJ5" s="125">
        <f t="shared" si="0"/>
        <v>2073</v>
      </c>
      <c r="BK5" s="125">
        <f t="shared" si="0"/>
        <v>2074</v>
      </c>
      <c r="BL5" s="125">
        <f t="shared" si="0"/>
        <v>2075</v>
      </c>
      <c r="BM5" s="125">
        <f t="shared" si="0"/>
        <v>2076</v>
      </c>
      <c r="BN5" s="125">
        <f t="shared" si="0"/>
        <v>2077</v>
      </c>
      <c r="BO5" s="125">
        <f t="shared" si="0"/>
        <v>2078</v>
      </c>
      <c r="BP5" s="125">
        <f t="shared" si="0"/>
        <v>2079</v>
      </c>
      <c r="BQ5" s="125">
        <f t="shared" si="0"/>
        <v>2080</v>
      </c>
      <c r="BR5" s="125">
        <f t="shared" si="0"/>
        <v>2081</v>
      </c>
      <c r="BS5" s="125">
        <f t="shared" si="0"/>
        <v>2082</v>
      </c>
      <c r="BT5" s="125">
        <f t="shared" si="0"/>
        <v>2083</v>
      </c>
      <c r="BU5" s="125">
        <f t="shared" si="0"/>
        <v>2084</v>
      </c>
      <c r="BV5" s="125">
        <f t="shared" si="0"/>
        <v>2085</v>
      </c>
      <c r="BW5" s="125">
        <f t="shared" ref="BW5:CA5" si="1">BV5+1</f>
        <v>2086</v>
      </c>
      <c r="BX5" s="125">
        <f t="shared" si="1"/>
        <v>2087</v>
      </c>
      <c r="BY5" s="125">
        <f t="shared" si="1"/>
        <v>2088</v>
      </c>
      <c r="BZ5" s="125">
        <f t="shared" si="1"/>
        <v>2089</v>
      </c>
      <c r="CA5" s="125">
        <f t="shared" si="1"/>
        <v>2090</v>
      </c>
      <c r="CC5" s="125">
        <v>2023</v>
      </c>
      <c r="CD5" s="125">
        <f>CC5+1</f>
        <v>2024</v>
      </c>
      <c r="CE5" s="125">
        <f t="shared" ref="CE5" si="2">CD5+1</f>
        <v>2025</v>
      </c>
      <c r="CF5" s="125">
        <f t="shared" ref="CF5" si="3">CE5+1</f>
        <v>2026</v>
      </c>
      <c r="CG5" s="125">
        <f t="shared" ref="CG5" si="4">CF5+1</f>
        <v>2027</v>
      </c>
      <c r="CH5" s="125">
        <f t="shared" ref="CH5" si="5">CG5+1</f>
        <v>2028</v>
      </c>
      <c r="CI5" s="125">
        <f t="shared" ref="CI5" si="6">CH5+1</f>
        <v>2029</v>
      </c>
      <c r="CJ5" s="125">
        <f t="shared" ref="CJ5" si="7">CI5+1</f>
        <v>2030</v>
      </c>
      <c r="CK5" s="125">
        <f t="shared" ref="CK5" si="8">CJ5+1</f>
        <v>2031</v>
      </c>
      <c r="CL5" s="125">
        <f t="shared" ref="CL5" si="9">CK5+1</f>
        <v>2032</v>
      </c>
      <c r="CM5" s="125">
        <f t="shared" ref="CM5" si="10">CL5+1</f>
        <v>2033</v>
      </c>
      <c r="CN5" s="125">
        <f t="shared" ref="CN5" si="11">CM5+1</f>
        <v>2034</v>
      </c>
      <c r="CO5" s="125">
        <f t="shared" ref="CO5" si="12">CN5+1</f>
        <v>2035</v>
      </c>
      <c r="CP5" s="125">
        <f t="shared" ref="CP5" si="13">CO5+1</f>
        <v>2036</v>
      </c>
      <c r="CQ5" s="125">
        <f t="shared" ref="CQ5" si="14">CP5+1</f>
        <v>2037</v>
      </c>
      <c r="CR5" s="125">
        <f t="shared" ref="CR5" si="15">CQ5+1</f>
        <v>2038</v>
      </c>
      <c r="CS5" s="125">
        <f t="shared" ref="CS5" si="16">CR5+1</f>
        <v>2039</v>
      </c>
      <c r="CT5" s="125">
        <f t="shared" ref="CT5" si="17">CS5+1</f>
        <v>2040</v>
      </c>
      <c r="CU5" s="125">
        <f t="shared" ref="CU5" si="18">CT5+1</f>
        <v>2041</v>
      </c>
      <c r="CV5" s="125">
        <f t="shared" ref="CV5" si="19">CU5+1</f>
        <v>2042</v>
      </c>
      <c r="CW5" s="125">
        <f t="shared" ref="CW5" si="20">CV5+1</f>
        <v>2043</v>
      </c>
      <c r="CX5" s="125">
        <f t="shared" ref="CX5" si="21">CW5+1</f>
        <v>2044</v>
      </c>
      <c r="CY5" s="125">
        <f t="shared" ref="CY5" si="22">CX5+1</f>
        <v>2045</v>
      </c>
      <c r="CZ5" s="125">
        <f t="shared" ref="CZ5" si="23">CY5+1</f>
        <v>2046</v>
      </c>
      <c r="DA5" s="125">
        <f t="shared" ref="DA5" si="24">CZ5+1</f>
        <v>2047</v>
      </c>
      <c r="DB5" s="125">
        <f t="shared" ref="DB5" si="25">DA5+1</f>
        <v>2048</v>
      </c>
      <c r="DC5" s="125">
        <f t="shared" ref="DC5" si="26">DB5+1</f>
        <v>2049</v>
      </c>
      <c r="DD5" s="125">
        <f t="shared" ref="DD5" si="27">DC5+1</f>
        <v>2050</v>
      </c>
      <c r="DE5" s="125">
        <f t="shared" ref="DE5" si="28">DD5+1</f>
        <v>2051</v>
      </c>
      <c r="DF5" s="125">
        <f t="shared" ref="DF5" si="29">DE5+1</f>
        <v>2052</v>
      </c>
      <c r="DG5" s="125">
        <f t="shared" ref="DG5" si="30">DF5+1</f>
        <v>2053</v>
      </c>
      <c r="DH5" s="125">
        <f t="shared" ref="DH5" si="31">DG5+1</f>
        <v>2054</v>
      </c>
      <c r="DI5" s="125">
        <f t="shared" ref="DI5" si="32">DH5+1</f>
        <v>2055</v>
      </c>
      <c r="DJ5" s="125">
        <f t="shared" ref="DJ5" si="33">DI5+1</f>
        <v>2056</v>
      </c>
      <c r="DK5" s="125">
        <f t="shared" ref="DK5" si="34">DJ5+1</f>
        <v>2057</v>
      </c>
      <c r="DL5" s="125">
        <f t="shared" ref="DL5" si="35">DK5+1</f>
        <v>2058</v>
      </c>
      <c r="DM5" s="125">
        <f t="shared" ref="DM5" si="36">DL5+1</f>
        <v>2059</v>
      </c>
      <c r="DN5" s="125">
        <f t="shared" ref="DN5" si="37">DM5+1</f>
        <v>2060</v>
      </c>
      <c r="DO5" s="125">
        <f t="shared" ref="DO5" si="38">DN5+1</f>
        <v>2061</v>
      </c>
      <c r="DP5" s="125">
        <f t="shared" ref="DP5" si="39">DO5+1</f>
        <v>2062</v>
      </c>
      <c r="DQ5" s="125">
        <f t="shared" ref="DQ5" si="40">DP5+1</f>
        <v>2063</v>
      </c>
      <c r="DR5" s="125">
        <f t="shared" ref="DR5" si="41">DQ5+1</f>
        <v>2064</v>
      </c>
      <c r="DS5" s="125">
        <f t="shared" ref="DS5" si="42">DR5+1</f>
        <v>2065</v>
      </c>
      <c r="DT5" s="125">
        <f t="shared" ref="DT5" si="43">DS5+1</f>
        <v>2066</v>
      </c>
      <c r="DU5" s="125">
        <f t="shared" ref="DU5" si="44">DT5+1</f>
        <v>2067</v>
      </c>
      <c r="DV5" s="125">
        <f t="shared" ref="DV5" si="45">DU5+1</f>
        <v>2068</v>
      </c>
      <c r="DW5" s="125">
        <f t="shared" ref="DW5" si="46">DV5+1</f>
        <v>2069</v>
      </c>
      <c r="DX5" s="125">
        <f t="shared" ref="DX5" si="47">DW5+1</f>
        <v>2070</v>
      </c>
      <c r="DY5" s="125">
        <f t="shared" ref="DY5" si="48">DX5+1</f>
        <v>2071</v>
      </c>
      <c r="DZ5" s="125">
        <f t="shared" ref="DZ5" si="49">DY5+1</f>
        <v>2072</v>
      </c>
      <c r="EA5" s="125">
        <f t="shared" ref="EA5" si="50">DZ5+1</f>
        <v>2073</v>
      </c>
      <c r="EB5" s="125">
        <f t="shared" ref="EB5" si="51">EA5+1</f>
        <v>2074</v>
      </c>
      <c r="EC5" s="125">
        <f t="shared" ref="EC5" si="52">EB5+1</f>
        <v>2075</v>
      </c>
      <c r="ED5" s="125">
        <f t="shared" ref="ED5" si="53">EC5+1</f>
        <v>2076</v>
      </c>
      <c r="EE5" s="125">
        <f t="shared" ref="EE5" si="54">ED5+1</f>
        <v>2077</v>
      </c>
      <c r="EF5" s="125">
        <f t="shared" ref="EF5" si="55">EE5+1</f>
        <v>2078</v>
      </c>
      <c r="EG5" s="125">
        <f t="shared" ref="EG5" si="56">EF5+1</f>
        <v>2079</v>
      </c>
      <c r="EH5" s="125">
        <f t="shared" ref="EH5" si="57">EG5+1</f>
        <v>2080</v>
      </c>
      <c r="EI5" s="125">
        <f t="shared" ref="EI5" si="58">EH5+1</f>
        <v>2081</v>
      </c>
      <c r="EJ5" s="125">
        <f t="shared" ref="EJ5" si="59">EI5+1</f>
        <v>2082</v>
      </c>
      <c r="EK5" s="125">
        <f t="shared" ref="EK5" si="60">EJ5+1</f>
        <v>2083</v>
      </c>
      <c r="EL5" s="125">
        <f t="shared" ref="EL5" si="61">EK5+1</f>
        <v>2084</v>
      </c>
      <c r="EM5" s="125">
        <f t="shared" ref="EM5" si="62">EL5+1</f>
        <v>2085</v>
      </c>
      <c r="EN5" s="125">
        <f t="shared" ref="EN5" si="63">EM5+1</f>
        <v>2086</v>
      </c>
      <c r="EO5" s="125">
        <f t="shared" ref="EO5" si="64">EN5+1</f>
        <v>2087</v>
      </c>
      <c r="EP5" s="125">
        <f t="shared" ref="EP5" si="65">EO5+1</f>
        <v>2088</v>
      </c>
      <c r="EQ5" s="125">
        <f t="shared" ref="EQ5" si="66">EP5+1</f>
        <v>2089</v>
      </c>
      <c r="ER5" s="125">
        <f t="shared" ref="ER5" si="67">EQ5+1</f>
        <v>2090</v>
      </c>
      <c r="ES5" s="125">
        <f t="shared" ref="ES5" si="68">ER5+1</f>
        <v>2091</v>
      </c>
      <c r="ET5" s="125">
        <f t="shared" ref="ET5" si="69">ES5+1</f>
        <v>2092</v>
      </c>
      <c r="EU5" s="125">
        <f t="shared" ref="EU5" si="70">ET5+1</f>
        <v>2093</v>
      </c>
      <c r="EV5" s="125">
        <f t="shared" ref="EV5" si="71">EU5+1</f>
        <v>2094</v>
      </c>
      <c r="EW5" s="125">
        <f t="shared" ref="EW5" si="72">EV5+1</f>
        <v>2095</v>
      </c>
      <c r="EX5" s="125">
        <f t="shared" ref="EX5" si="73">EW5+1</f>
        <v>2096</v>
      </c>
      <c r="EY5" s="125">
        <f t="shared" ref="EY5" si="74">EX5+1</f>
        <v>2097</v>
      </c>
      <c r="EZ5" s="125">
        <f t="shared" ref="EZ5" si="75">EY5+1</f>
        <v>2098</v>
      </c>
      <c r="FA5" s="125">
        <f t="shared" ref="FA5" si="76">EZ5+1</f>
        <v>2099</v>
      </c>
      <c r="FB5" s="125">
        <f t="shared" ref="FB5" si="77">FA5+1</f>
        <v>2100</v>
      </c>
      <c r="FC5" s="125">
        <f t="shared" ref="FC5" si="78">FB5+1</f>
        <v>2101</v>
      </c>
      <c r="FD5" s="125">
        <f t="shared" ref="FD5" si="79">FC5+1</f>
        <v>2102</v>
      </c>
      <c r="FE5" s="125">
        <f t="shared" ref="FE5" si="80">FD5+1</f>
        <v>2103</v>
      </c>
      <c r="FF5" s="125">
        <f t="shared" ref="FF5" si="81">FE5+1</f>
        <v>2104</v>
      </c>
      <c r="FG5" s="125">
        <f t="shared" ref="FG5" si="82">FF5+1</f>
        <v>2105</v>
      </c>
      <c r="FH5" s="125">
        <f t="shared" ref="FH5" si="83">FG5+1</f>
        <v>2106</v>
      </c>
      <c r="FI5" s="125">
        <f t="shared" ref="FI5" si="84">FH5+1</f>
        <v>2107</v>
      </c>
      <c r="FJ5" s="125">
        <f t="shared" ref="FJ5" si="85">FI5+1</f>
        <v>2108</v>
      </c>
      <c r="FK5" s="125">
        <f t="shared" ref="FK5" si="86">FJ5+1</f>
        <v>2109</v>
      </c>
      <c r="FL5" s="125">
        <f t="shared" ref="FL5" si="87">FK5+1</f>
        <v>2110</v>
      </c>
      <c r="FM5" s="125">
        <f t="shared" ref="FM5" si="88">FL5+1</f>
        <v>2111</v>
      </c>
      <c r="FN5" s="125">
        <f t="shared" ref="FN5" si="89">FM5+1</f>
        <v>2112</v>
      </c>
      <c r="FO5" s="125">
        <f t="shared" ref="FO5" si="90">FN5+1</f>
        <v>2113</v>
      </c>
      <c r="FP5" s="125">
        <f t="shared" ref="FP5" si="91">FO5+1</f>
        <v>2114</v>
      </c>
      <c r="FQ5" s="125">
        <f t="shared" ref="FQ5" si="92">FP5+1</f>
        <v>2115</v>
      </c>
      <c r="FR5" s="125">
        <f t="shared" ref="FR5" si="93">FQ5+1</f>
        <v>2116</v>
      </c>
      <c r="FS5" s="125">
        <f t="shared" ref="FS5" si="94">FR5+1</f>
        <v>2117</v>
      </c>
      <c r="FT5" s="125">
        <f t="shared" ref="FT5" si="95">FS5+1</f>
        <v>2118</v>
      </c>
      <c r="FU5" s="125">
        <f t="shared" ref="FU5" si="96">FT5+1</f>
        <v>2119</v>
      </c>
      <c r="FV5" s="125">
        <f t="shared" ref="FV5" si="97">FU5+1</f>
        <v>2120</v>
      </c>
      <c r="FW5" s="125">
        <f t="shared" ref="FW5" si="98">FV5+1</f>
        <v>2121</v>
      </c>
      <c r="FX5" s="125">
        <f t="shared" ref="FX5" si="99">FW5+1</f>
        <v>2122</v>
      </c>
      <c r="FY5" s="125">
        <f t="shared" ref="FY5" si="100">FX5+1</f>
        <v>2123</v>
      </c>
      <c r="FZ5" s="125">
        <f t="shared" ref="FZ5" si="101">FY5+1</f>
        <v>2124</v>
      </c>
      <c r="GA5" s="125">
        <f t="shared" ref="GA5" si="102">FZ5+1</f>
        <v>2125</v>
      </c>
      <c r="GB5" s="125">
        <f t="shared" ref="GB5" si="103">GA5+1</f>
        <v>2126</v>
      </c>
      <c r="GC5" s="125">
        <f t="shared" ref="GC5" si="104">GB5+1</f>
        <v>2127</v>
      </c>
      <c r="GD5" s="125">
        <f t="shared" ref="GD5" si="105">GC5+1</f>
        <v>2128</v>
      </c>
      <c r="GE5" s="125">
        <f t="shared" ref="GE5" si="106">GD5+1</f>
        <v>2129</v>
      </c>
      <c r="GF5" s="125">
        <f t="shared" ref="GF5" si="107">GE5+1</f>
        <v>2130</v>
      </c>
      <c r="GG5" s="125">
        <f t="shared" ref="GG5" si="108">GF5+1</f>
        <v>2131</v>
      </c>
      <c r="GH5" s="125">
        <f t="shared" ref="GH5" si="109">GG5+1</f>
        <v>2132</v>
      </c>
      <c r="GI5" s="125">
        <f t="shared" ref="GI5" si="110">GH5+1</f>
        <v>2133</v>
      </c>
    </row>
    <row r="6" spans="1:191">
      <c r="B6" s="12">
        <v>8</v>
      </c>
      <c r="C6" s="12">
        <v>18</v>
      </c>
      <c r="D6" s="12" t="s">
        <v>482</v>
      </c>
      <c r="E6" s="326" t="s">
        <v>515</v>
      </c>
      <c r="F6" s="321">
        <v>700000</v>
      </c>
      <c r="G6" s="365">
        <f>F6/55</f>
        <v>12727.272727272728</v>
      </c>
      <c r="H6" s="326">
        <f>INDEX( 'Mortality Table'!$C$5:$I$127, MATCH($C6, 'Mortality Table'!$C$5:$C$127, 0), MATCH($D6,'Mortality Table'!$C$5:$I$5, 0) )</f>
        <v>62.36</v>
      </c>
      <c r="I6" s="12">
        <f>ROUND(H6+$L$5,0)</f>
        <v>2085</v>
      </c>
      <c r="J6" s="12">
        <f>SUM(L6:CA6)</f>
        <v>-700000</v>
      </c>
      <c r="K6" s="105"/>
      <c r="L6" s="105">
        <f>IF(L$5 = $I6, - $F6, 0)</f>
        <v>0</v>
      </c>
      <c r="M6" s="105">
        <f>IF(M$5 = $I6, - $F6, 0)</f>
        <v>0</v>
      </c>
      <c r="N6" s="105">
        <f t="shared" ref="M6:AB15" si="111">IF(N$5 = $I6, - $F6, 0)</f>
        <v>0</v>
      </c>
      <c r="O6" s="105">
        <f t="shared" si="111"/>
        <v>0</v>
      </c>
      <c r="P6" s="105">
        <f>IF(P$5 = $I6, - $F6, 0)</f>
        <v>0</v>
      </c>
      <c r="Q6" s="105">
        <f t="shared" si="111"/>
        <v>0</v>
      </c>
      <c r="R6" s="105">
        <f t="shared" si="111"/>
        <v>0</v>
      </c>
      <c r="S6" s="105">
        <f t="shared" si="111"/>
        <v>0</v>
      </c>
      <c r="T6" s="105">
        <f t="shared" si="111"/>
        <v>0</v>
      </c>
      <c r="U6" s="105">
        <f t="shared" si="111"/>
        <v>0</v>
      </c>
      <c r="V6" s="105">
        <f t="shared" si="111"/>
        <v>0</v>
      </c>
      <c r="W6" s="105">
        <f t="shared" si="111"/>
        <v>0</v>
      </c>
      <c r="X6" s="105">
        <f t="shared" si="111"/>
        <v>0</v>
      </c>
      <c r="Y6" s="105">
        <f t="shared" si="111"/>
        <v>0</v>
      </c>
      <c r="Z6" s="105">
        <f t="shared" si="111"/>
        <v>0</v>
      </c>
      <c r="AA6" s="105">
        <f t="shared" si="111"/>
        <v>0</v>
      </c>
      <c r="AB6" s="105">
        <f t="shared" si="111"/>
        <v>0</v>
      </c>
      <c r="AC6" s="105">
        <f t="shared" ref="AC6:AR15" si="112">IF(AC$5 = $I6, - $F6, 0)</f>
        <v>0</v>
      </c>
      <c r="AD6" s="105">
        <f>IF(AD$5 = $I6, - $F6, 0)</f>
        <v>0</v>
      </c>
      <c r="AE6" s="105">
        <f t="shared" si="112"/>
        <v>0</v>
      </c>
      <c r="AF6" s="105">
        <f t="shared" si="112"/>
        <v>0</v>
      </c>
      <c r="AG6" s="105">
        <f t="shared" si="112"/>
        <v>0</v>
      </c>
      <c r="AH6" s="105">
        <f t="shared" si="112"/>
        <v>0</v>
      </c>
      <c r="AI6" s="105">
        <f t="shared" si="112"/>
        <v>0</v>
      </c>
      <c r="AJ6" s="105">
        <f t="shared" si="112"/>
        <v>0</v>
      </c>
      <c r="AK6" s="105">
        <f t="shared" si="112"/>
        <v>0</v>
      </c>
      <c r="AL6" s="105">
        <f t="shared" si="112"/>
        <v>0</v>
      </c>
      <c r="AM6" s="105">
        <f t="shared" si="112"/>
        <v>0</v>
      </c>
      <c r="AN6" s="105">
        <f t="shared" si="112"/>
        <v>0</v>
      </c>
      <c r="AO6" s="105">
        <f t="shared" si="112"/>
        <v>0</v>
      </c>
      <c r="AP6" s="105">
        <f t="shared" si="112"/>
        <v>0</v>
      </c>
      <c r="AQ6" s="105">
        <f t="shared" si="112"/>
        <v>0</v>
      </c>
      <c r="AR6" s="105">
        <f t="shared" si="112"/>
        <v>0</v>
      </c>
      <c r="AS6" s="105">
        <f t="shared" ref="AS6:BH15" si="113">IF(AS$5 = $I6, - $F6, 0)</f>
        <v>0</v>
      </c>
      <c r="AT6" s="105">
        <f t="shared" si="113"/>
        <v>0</v>
      </c>
      <c r="AU6" s="105">
        <f t="shared" si="113"/>
        <v>0</v>
      </c>
      <c r="AV6" s="105">
        <f t="shared" si="113"/>
        <v>0</v>
      </c>
      <c r="AW6" s="105">
        <f t="shared" si="113"/>
        <v>0</v>
      </c>
      <c r="AX6" s="105">
        <f t="shared" si="113"/>
        <v>0</v>
      </c>
      <c r="AY6" s="105">
        <f t="shared" si="113"/>
        <v>0</v>
      </c>
      <c r="AZ6" s="105">
        <f t="shared" si="113"/>
        <v>0</v>
      </c>
      <c r="BA6" s="105">
        <f t="shared" si="113"/>
        <v>0</v>
      </c>
      <c r="BB6" s="105">
        <f t="shared" si="113"/>
        <v>0</v>
      </c>
      <c r="BC6" s="105">
        <f t="shared" si="113"/>
        <v>0</v>
      </c>
      <c r="BD6" s="105">
        <f t="shared" si="113"/>
        <v>0</v>
      </c>
      <c r="BE6" s="105">
        <f t="shared" si="113"/>
        <v>0</v>
      </c>
      <c r="BF6" s="105">
        <f t="shared" si="113"/>
        <v>0</v>
      </c>
      <c r="BG6" s="105">
        <f t="shared" si="113"/>
        <v>0</v>
      </c>
      <c r="BH6" s="105">
        <f t="shared" si="113"/>
        <v>0</v>
      </c>
      <c r="BI6" s="105">
        <f t="shared" ref="BI6:BX15" si="114">IF(BI$5 = $I6, - $F6, 0)</f>
        <v>0</v>
      </c>
      <c r="BJ6" s="105">
        <f t="shared" si="114"/>
        <v>0</v>
      </c>
      <c r="BK6" s="105">
        <f t="shared" si="114"/>
        <v>0</v>
      </c>
      <c r="BL6" s="105">
        <f t="shared" si="114"/>
        <v>0</v>
      </c>
      <c r="BM6" s="105">
        <f t="shared" si="114"/>
        <v>0</v>
      </c>
      <c r="BN6" s="105">
        <f t="shared" si="114"/>
        <v>0</v>
      </c>
      <c r="BO6" s="105">
        <f t="shared" si="114"/>
        <v>0</v>
      </c>
      <c r="BP6" s="105">
        <f t="shared" si="114"/>
        <v>0</v>
      </c>
      <c r="BQ6" s="105">
        <f t="shared" si="114"/>
        <v>0</v>
      </c>
      <c r="BR6" s="105">
        <f t="shared" si="114"/>
        <v>0</v>
      </c>
      <c r="BS6" s="105">
        <f t="shared" si="114"/>
        <v>0</v>
      </c>
      <c r="BT6" s="105">
        <f t="shared" si="114"/>
        <v>0</v>
      </c>
      <c r="BU6" s="105">
        <f t="shared" si="114"/>
        <v>0</v>
      </c>
      <c r="BV6" s="105">
        <f t="shared" si="114"/>
        <v>-700000</v>
      </c>
      <c r="BW6" s="105">
        <f t="shared" si="114"/>
        <v>0</v>
      </c>
      <c r="BX6" s="105">
        <f t="shared" si="114"/>
        <v>0</v>
      </c>
      <c r="BY6" s="105">
        <f t="shared" ref="BY6:CA15" si="115">IF(BY$5 = $I6, - $F6, 0)</f>
        <v>0</v>
      </c>
      <c r="BZ6" s="105">
        <f t="shared" si="115"/>
        <v>0</v>
      </c>
      <c r="CA6" s="105">
        <f t="shared" si="115"/>
        <v>0</v>
      </c>
      <c r="CC6" s="105">
        <f>IF(CC$5 &lt; $I6, $G6, 0 )</f>
        <v>12727.272727272728</v>
      </c>
      <c r="CD6" s="105">
        <f t="shared" ref="CD6:CS15" si="116">IF(CD$5 &lt; $I6, $G6, 0 )</f>
        <v>12727.272727272728</v>
      </c>
      <c r="CE6" s="105">
        <f t="shared" si="116"/>
        <v>12727.272727272728</v>
      </c>
      <c r="CF6" s="105">
        <f t="shared" si="116"/>
        <v>12727.272727272728</v>
      </c>
      <c r="CG6" s="105">
        <f t="shared" si="116"/>
        <v>12727.272727272728</v>
      </c>
      <c r="CH6" s="105">
        <f t="shared" si="116"/>
        <v>12727.272727272728</v>
      </c>
      <c r="CI6" s="105">
        <f t="shared" si="116"/>
        <v>12727.272727272728</v>
      </c>
      <c r="CJ6" s="105">
        <f t="shared" si="116"/>
        <v>12727.272727272728</v>
      </c>
      <c r="CK6" s="105">
        <f t="shared" si="116"/>
        <v>12727.272727272728</v>
      </c>
      <c r="CL6" s="105">
        <f t="shared" si="116"/>
        <v>12727.272727272728</v>
      </c>
      <c r="CM6" s="105">
        <f t="shared" si="116"/>
        <v>12727.272727272728</v>
      </c>
      <c r="CN6" s="105">
        <f t="shared" si="116"/>
        <v>12727.272727272728</v>
      </c>
      <c r="CO6" s="105">
        <f t="shared" si="116"/>
        <v>12727.272727272728</v>
      </c>
      <c r="CP6" s="105">
        <f t="shared" si="116"/>
        <v>12727.272727272728</v>
      </c>
      <c r="CQ6" s="105">
        <f t="shared" si="116"/>
        <v>12727.272727272728</v>
      </c>
      <c r="CR6" s="105">
        <f t="shared" si="116"/>
        <v>12727.272727272728</v>
      </c>
      <c r="CS6" s="105">
        <f t="shared" si="116"/>
        <v>12727.272727272728</v>
      </c>
      <c r="CT6" s="105">
        <f t="shared" ref="CT6:DI15" si="117">IF(CT$5 &lt; $I6, $G6, 0 )</f>
        <v>12727.272727272728</v>
      </c>
      <c r="CU6" s="105">
        <f t="shared" si="117"/>
        <v>12727.272727272728</v>
      </c>
      <c r="CV6" s="105">
        <f t="shared" si="117"/>
        <v>12727.272727272728</v>
      </c>
      <c r="CW6" s="105">
        <f t="shared" si="117"/>
        <v>12727.272727272728</v>
      </c>
      <c r="CX6" s="105">
        <f t="shared" si="117"/>
        <v>12727.272727272728</v>
      </c>
      <c r="CY6" s="105">
        <f t="shared" si="117"/>
        <v>12727.272727272728</v>
      </c>
      <c r="CZ6" s="105">
        <f t="shared" si="117"/>
        <v>12727.272727272728</v>
      </c>
      <c r="DA6" s="105">
        <f t="shared" si="117"/>
        <v>12727.272727272728</v>
      </c>
      <c r="DB6" s="105">
        <f t="shared" si="117"/>
        <v>12727.272727272728</v>
      </c>
      <c r="DC6" s="105">
        <f t="shared" si="117"/>
        <v>12727.272727272728</v>
      </c>
      <c r="DD6" s="105">
        <f t="shared" si="117"/>
        <v>12727.272727272728</v>
      </c>
      <c r="DE6" s="105">
        <f t="shared" si="117"/>
        <v>12727.272727272728</v>
      </c>
      <c r="DF6" s="105">
        <f t="shared" si="117"/>
        <v>12727.272727272728</v>
      </c>
      <c r="DG6" s="105">
        <f t="shared" si="117"/>
        <v>12727.272727272728</v>
      </c>
      <c r="DH6" s="105">
        <f t="shared" si="117"/>
        <v>12727.272727272728</v>
      </c>
      <c r="DI6" s="105">
        <f t="shared" si="117"/>
        <v>12727.272727272728</v>
      </c>
      <c r="DJ6" s="105">
        <f t="shared" ref="DJ6:DY15" si="118">IF(DJ$5 &lt; $I6, $G6, 0 )</f>
        <v>12727.272727272728</v>
      </c>
      <c r="DK6" s="105">
        <f t="shared" si="118"/>
        <v>12727.272727272728</v>
      </c>
      <c r="DL6" s="105">
        <f t="shared" si="118"/>
        <v>12727.272727272728</v>
      </c>
      <c r="DM6" s="105">
        <f t="shared" si="118"/>
        <v>12727.272727272728</v>
      </c>
      <c r="DN6" s="105">
        <f t="shared" si="118"/>
        <v>12727.272727272728</v>
      </c>
      <c r="DO6" s="105">
        <f t="shared" si="118"/>
        <v>12727.272727272728</v>
      </c>
      <c r="DP6" s="105">
        <f t="shared" si="118"/>
        <v>12727.272727272728</v>
      </c>
      <c r="DQ6" s="105">
        <f t="shared" si="118"/>
        <v>12727.272727272728</v>
      </c>
      <c r="DR6" s="105">
        <f t="shared" si="118"/>
        <v>12727.272727272728</v>
      </c>
      <c r="DS6" s="105">
        <f t="shared" si="118"/>
        <v>12727.272727272728</v>
      </c>
      <c r="DT6" s="105">
        <f t="shared" si="118"/>
        <v>12727.272727272728</v>
      </c>
      <c r="DU6" s="105">
        <f t="shared" si="118"/>
        <v>12727.272727272728</v>
      </c>
      <c r="DV6" s="105">
        <f t="shared" si="118"/>
        <v>12727.272727272728</v>
      </c>
      <c r="DW6" s="105">
        <f t="shared" si="118"/>
        <v>12727.272727272728</v>
      </c>
      <c r="DX6" s="105">
        <f t="shared" si="118"/>
        <v>12727.272727272728</v>
      </c>
      <c r="DY6" s="105">
        <f t="shared" si="118"/>
        <v>12727.272727272728</v>
      </c>
      <c r="DZ6" s="105">
        <f t="shared" ref="DZ6:EO15" si="119">IF(DZ$5 &lt; $I6, $G6, 0 )</f>
        <v>12727.272727272728</v>
      </c>
      <c r="EA6" s="105">
        <f t="shared" si="119"/>
        <v>12727.272727272728</v>
      </c>
      <c r="EB6" s="105">
        <f t="shared" si="119"/>
        <v>12727.272727272728</v>
      </c>
      <c r="EC6" s="105">
        <f t="shared" si="119"/>
        <v>12727.272727272728</v>
      </c>
      <c r="ED6" s="105">
        <f t="shared" si="119"/>
        <v>12727.272727272728</v>
      </c>
      <c r="EE6" s="105">
        <f t="shared" si="119"/>
        <v>12727.272727272728</v>
      </c>
      <c r="EF6" s="105">
        <f t="shared" si="119"/>
        <v>12727.272727272728</v>
      </c>
      <c r="EG6" s="105">
        <f t="shared" si="119"/>
        <v>12727.272727272728</v>
      </c>
      <c r="EH6" s="105">
        <f t="shared" si="119"/>
        <v>12727.272727272728</v>
      </c>
      <c r="EI6" s="105">
        <f t="shared" si="119"/>
        <v>12727.272727272728</v>
      </c>
      <c r="EJ6" s="105">
        <f t="shared" si="119"/>
        <v>12727.272727272728</v>
      </c>
      <c r="EK6" s="105">
        <f t="shared" si="119"/>
        <v>12727.272727272728</v>
      </c>
      <c r="EL6" s="105">
        <f t="shared" si="119"/>
        <v>12727.272727272728</v>
      </c>
      <c r="EM6" s="105">
        <f t="shared" si="119"/>
        <v>0</v>
      </c>
      <c r="EN6" s="105">
        <f t="shared" si="119"/>
        <v>0</v>
      </c>
      <c r="EO6" s="105">
        <f t="shared" si="119"/>
        <v>0</v>
      </c>
      <c r="EP6" s="105">
        <f t="shared" ref="EP6:FE15" si="120">IF(EP$5 &lt; $I6, $G6, 0 )</f>
        <v>0</v>
      </c>
      <c r="EQ6" s="105">
        <f t="shared" si="120"/>
        <v>0</v>
      </c>
      <c r="ER6" s="105">
        <f t="shared" si="120"/>
        <v>0</v>
      </c>
      <c r="ES6" s="105">
        <f t="shared" si="120"/>
        <v>0</v>
      </c>
      <c r="ET6" s="105">
        <f t="shared" si="120"/>
        <v>0</v>
      </c>
      <c r="EU6" s="105">
        <f t="shared" si="120"/>
        <v>0</v>
      </c>
      <c r="EV6" s="105">
        <f t="shared" si="120"/>
        <v>0</v>
      </c>
      <c r="EW6" s="105">
        <f t="shared" si="120"/>
        <v>0</v>
      </c>
      <c r="EX6" s="105">
        <f t="shared" si="120"/>
        <v>0</v>
      </c>
      <c r="EY6" s="105">
        <f t="shared" si="120"/>
        <v>0</v>
      </c>
      <c r="EZ6" s="105">
        <f t="shared" si="120"/>
        <v>0</v>
      </c>
      <c r="FA6" s="105">
        <f t="shared" si="120"/>
        <v>0</v>
      </c>
      <c r="FB6" s="105">
        <f t="shared" si="120"/>
        <v>0</v>
      </c>
      <c r="FC6" s="105">
        <f t="shared" si="120"/>
        <v>0</v>
      </c>
      <c r="FD6" s="105">
        <f t="shared" si="120"/>
        <v>0</v>
      </c>
      <c r="FE6" s="105">
        <f t="shared" si="120"/>
        <v>0</v>
      </c>
      <c r="FF6" s="105">
        <f t="shared" ref="FF6:FU15" si="121">IF(FF$5 &lt; $I6, $G6, 0 )</f>
        <v>0</v>
      </c>
      <c r="FG6" s="105">
        <f t="shared" si="121"/>
        <v>0</v>
      </c>
      <c r="FH6" s="105">
        <f t="shared" si="121"/>
        <v>0</v>
      </c>
      <c r="FI6" s="105">
        <f t="shared" si="121"/>
        <v>0</v>
      </c>
      <c r="FJ6" s="105">
        <f t="shared" si="121"/>
        <v>0</v>
      </c>
      <c r="FK6" s="105">
        <f t="shared" si="121"/>
        <v>0</v>
      </c>
      <c r="FL6" s="105">
        <f t="shared" si="121"/>
        <v>0</v>
      </c>
      <c r="FM6" s="105">
        <f t="shared" si="121"/>
        <v>0</v>
      </c>
      <c r="FN6" s="105">
        <f t="shared" si="121"/>
        <v>0</v>
      </c>
      <c r="FO6" s="105">
        <f t="shared" si="121"/>
        <v>0</v>
      </c>
      <c r="FP6" s="105">
        <f t="shared" si="121"/>
        <v>0</v>
      </c>
      <c r="FQ6" s="105">
        <f t="shared" si="121"/>
        <v>0</v>
      </c>
      <c r="FR6" s="105">
        <f t="shared" si="121"/>
        <v>0</v>
      </c>
      <c r="FS6" s="105">
        <f t="shared" si="121"/>
        <v>0</v>
      </c>
      <c r="FT6" s="105">
        <f t="shared" si="121"/>
        <v>0</v>
      </c>
      <c r="FU6" s="105">
        <f t="shared" si="121"/>
        <v>0</v>
      </c>
      <c r="FV6" s="105">
        <f t="shared" ref="FV6:GI15" si="122">IF(FV$5 &lt; $I6, $G6, 0 )</f>
        <v>0</v>
      </c>
      <c r="FW6" s="105">
        <f t="shared" si="122"/>
        <v>0</v>
      </c>
      <c r="FX6" s="105">
        <f t="shared" si="122"/>
        <v>0</v>
      </c>
      <c r="FY6" s="105">
        <f t="shared" si="122"/>
        <v>0</v>
      </c>
      <c r="FZ6" s="105">
        <f t="shared" si="122"/>
        <v>0</v>
      </c>
      <c r="GA6" s="105">
        <f t="shared" si="122"/>
        <v>0</v>
      </c>
      <c r="GB6" s="105">
        <f t="shared" si="122"/>
        <v>0</v>
      </c>
      <c r="GC6" s="105">
        <f t="shared" si="122"/>
        <v>0</v>
      </c>
      <c r="GD6" s="105">
        <f t="shared" si="122"/>
        <v>0</v>
      </c>
      <c r="GE6" s="105">
        <f t="shared" si="122"/>
        <v>0</v>
      </c>
      <c r="GF6" s="105">
        <f t="shared" si="122"/>
        <v>0</v>
      </c>
      <c r="GG6" s="105">
        <f t="shared" si="122"/>
        <v>0</v>
      </c>
      <c r="GH6" s="105">
        <f t="shared" si="122"/>
        <v>0</v>
      </c>
      <c r="GI6" s="105">
        <f t="shared" si="122"/>
        <v>0</v>
      </c>
    </row>
    <row r="7" spans="1:191">
      <c r="B7" s="12">
        <v>3</v>
      </c>
      <c r="C7" s="12">
        <v>21</v>
      </c>
      <c r="D7" s="12" t="s">
        <v>482</v>
      </c>
      <c r="E7" s="326" t="s">
        <v>515</v>
      </c>
      <c r="F7" s="321">
        <v>100000</v>
      </c>
      <c r="G7" s="365">
        <f t="shared" ref="G7:G15" si="123">F7/55</f>
        <v>1818.1818181818182</v>
      </c>
      <c r="H7" s="326">
        <f>INDEX( 'Mortality Table'!$C$5:$I$127, MATCH($C7, 'Mortality Table'!$C$5:$C$127, 0), MATCH($D7,'Mortality Table'!$C$5:$I$5, 0) )</f>
        <v>59.44</v>
      </c>
      <c r="I7" s="12">
        <f t="shared" ref="I7:I15" si="124">ROUND(H7+$L$5,0)</f>
        <v>2082</v>
      </c>
      <c r="J7" s="12">
        <f t="shared" ref="J7:J15" si="125">SUM(L7:CA7)</f>
        <v>-100000</v>
      </c>
      <c r="K7" s="105"/>
      <c r="L7" s="105">
        <f t="shared" ref="L7:L15" si="126">IF(L$5 = $I7, - $F7, 0)</f>
        <v>0</v>
      </c>
      <c r="M7" s="105">
        <f t="shared" si="111"/>
        <v>0</v>
      </c>
      <c r="N7" s="105">
        <f t="shared" si="111"/>
        <v>0</v>
      </c>
      <c r="O7" s="105">
        <f t="shared" si="111"/>
        <v>0</v>
      </c>
      <c r="P7" s="105">
        <f t="shared" si="111"/>
        <v>0</v>
      </c>
      <c r="Q7" s="105">
        <f t="shared" si="111"/>
        <v>0</v>
      </c>
      <c r="R7" s="105">
        <f t="shared" si="111"/>
        <v>0</v>
      </c>
      <c r="S7" s="105">
        <f t="shared" si="111"/>
        <v>0</v>
      </c>
      <c r="T7" s="105">
        <f t="shared" si="111"/>
        <v>0</v>
      </c>
      <c r="U7" s="105">
        <f t="shared" si="111"/>
        <v>0</v>
      </c>
      <c r="V7" s="105">
        <f t="shared" si="111"/>
        <v>0</v>
      </c>
      <c r="W7" s="105">
        <f t="shared" si="111"/>
        <v>0</v>
      </c>
      <c r="X7" s="105">
        <f t="shared" si="111"/>
        <v>0</v>
      </c>
      <c r="Y7" s="105">
        <f t="shared" si="111"/>
        <v>0</v>
      </c>
      <c r="Z7" s="105">
        <f t="shared" si="111"/>
        <v>0</v>
      </c>
      <c r="AA7" s="105">
        <f t="shared" si="111"/>
        <v>0</v>
      </c>
      <c r="AB7" s="105">
        <f t="shared" si="111"/>
        <v>0</v>
      </c>
      <c r="AC7" s="105">
        <f t="shared" si="112"/>
        <v>0</v>
      </c>
      <c r="AD7" s="105">
        <f t="shared" si="112"/>
        <v>0</v>
      </c>
      <c r="AE7" s="105">
        <f t="shared" si="112"/>
        <v>0</v>
      </c>
      <c r="AF7" s="105">
        <f t="shared" si="112"/>
        <v>0</v>
      </c>
      <c r="AG7" s="105">
        <f t="shared" si="112"/>
        <v>0</v>
      </c>
      <c r="AH7" s="105">
        <f t="shared" si="112"/>
        <v>0</v>
      </c>
      <c r="AI7" s="105">
        <f t="shared" si="112"/>
        <v>0</v>
      </c>
      <c r="AJ7" s="105">
        <f t="shared" si="112"/>
        <v>0</v>
      </c>
      <c r="AK7" s="105">
        <f t="shared" si="112"/>
        <v>0</v>
      </c>
      <c r="AL7" s="105">
        <f t="shared" si="112"/>
        <v>0</v>
      </c>
      <c r="AM7" s="105">
        <f t="shared" si="112"/>
        <v>0</v>
      </c>
      <c r="AN7" s="105">
        <f t="shared" si="112"/>
        <v>0</v>
      </c>
      <c r="AO7" s="105">
        <f t="shared" si="112"/>
        <v>0</v>
      </c>
      <c r="AP7" s="105">
        <f t="shared" si="112"/>
        <v>0</v>
      </c>
      <c r="AQ7" s="105">
        <f t="shared" si="112"/>
        <v>0</v>
      </c>
      <c r="AR7" s="105">
        <f t="shared" si="112"/>
        <v>0</v>
      </c>
      <c r="AS7" s="105">
        <f t="shared" si="113"/>
        <v>0</v>
      </c>
      <c r="AT7" s="105">
        <f t="shared" si="113"/>
        <v>0</v>
      </c>
      <c r="AU7" s="105">
        <f t="shared" si="113"/>
        <v>0</v>
      </c>
      <c r="AV7" s="105">
        <f t="shared" si="113"/>
        <v>0</v>
      </c>
      <c r="AW7" s="105">
        <f t="shared" si="113"/>
        <v>0</v>
      </c>
      <c r="AX7" s="105">
        <f t="shared" si="113"/>
        <v>0</v>
      </c>
      <c r="AY7" s="105">
        <f t="shared" si="113"/>
        <v>0</v>
      </c>
      <c r="AZ7" s="105">
        <f t="shared" si="113"/>
        <v>0</v>
      </c>
      <c r="BA7" s="105">
        <f t="shared" si="113"/>
        <v>0</v>
      </c>
      <c r="BB7" s="105">
        <f t="shared" si="113"/>
        <v>0</v>
      </c>
      <c r="BC7" s="105">
        <f t="shared" si="113"/>
        <v>0</v>
      </c>
      <c r="BD7" s="105">
        <f t="shared" si="113"/>
        <v>0</v>
      </c>
      <c r="BE7" s="105">
        <f t="shared" si="113"/>
        <v>0</v>
      </c>
      <c r="BF7" s="105">
        <f t="shared" si="113"/>
        <v>0</v>
      </c>
      <c r="BG7" s="105">
        <f t="shared" si="113"/>
        <v>0</v>
      </c>
      <c r="BH7" s="105">
        <f t="shared" si="113"/>
        <v>0</v>
      </c>
      <c r="BI7" s="105">
        <f t="shared" si="114"/>
        <v>0</v>
      </c>
      <c r="BJ7" s="105">
        <f t="shared" si="114"/>
        <v>0</v>
      </c>
      <c r="BK7" s="105">
        <f t="shared" si="114"/>
        <v>0</v>
      </c>
      <c r="BL7" s="105">
        <f t="shared" si="114"/>
        <v>0</v>
      </c>
      <c r="BM7" s="105">
        <f t="shared" si="114"/>
        <v>0</v>
      </c>
      <c r="BN7" s="105">
        <f t="shared" si="114"/>
        <v>0</v>
      </c>
      <c r="BO7" s="105">
        <f t="shared" si="114"/>
        <v>0</v>
      </c>
      <c r="BP7" s="105">
        <f t="shared" si="114"/>
        <v>0</v>
      </c>
      <c r="BQ7" s="105">
        <f t="shared" si="114"/>
        <v>0</v>
      </c>
      <c r="BR7" s="105">
        <f t="shared" si="114"/>
        <v>0</v>
      </c>
      <c r="BS7" s="105">
        <f t="shared" si="114"/>
        <v>-100000</v>
      </c>
      <c r="BT7" s="105">
        <f t="shared" si="114"/>
        <v>0</v>
      </c>
      <c r="BU7" s="105">
        <f t="shared" si="114"/>
        <v>0</v>
      </c>
      <c r="BV7" s="105">
        <f t="shared" si="114"/>
        <v>0</v>
      </c>
      <c r="BW7" s="105">
        <f t="shared" si="114"/>
        <v>0</v>
      </c>
      <c r="BX7" s="105">
        <f t="shared" si="114"/>
        <v>0</v>
      </c>
      <c r="BY7" s="105">
        <f t="shared" si="115"/>
        <v>0</v>
      </c>
      <c r="BZ7" s="105">
        <f t="shared" si="115"/>
        <v>0</v>
      </c>
      <c r="CA7" s="105">
        <f t="shared" si="115"/>
        <v>0</v>
      </c>
      <c r="CC7" s="105">
        <f t="shared" ref="CC7:CC15" si="127">IF(CC$5 &lt; $I7, $G7, 0 )</f>
        <v>1818.1818181818182</v>
      </c>
      <c r="CD7" s="105">
        <f t="shared" si="116"/>
        <v>1818.1818181818182</v>
      </c>
      <c r="CE7" s="105">
        <f t="shared" si="116"/>
        <v>1818.1818181818182</v>
      </c>
      <c r="CF7" s="105">
        <f t="shared" si="116"/>
        <v>1818.1818181818182</v>
      </c>
      <c r="CG7" s="105">
        <f t="shared" si="116"/>
        <v>1818.1818181818182</v>
      </c>
      <c r="CH7" s="105">
        <f t="shared" si="116"/>
        <v>1818.1818181818182</v>
      </c>
      <c r="CI7" s="105">
        <f t="shared" si="116"/>
        <v>1818.1818181818182</v>
      </c>
      <c r="CJ7" s="105">
        <f t="shared" si="116"/>
        <v>1818.1818181818182</v>
      </c>
      <c r="CK7" s="105">
        <f t="shared" si="116"/>
        <v>1818.1818181818182</v>
      </c>
      <c r="CL7" s="105">
        <f t="shared" si="116"/>
        <v>1818.1818181818182</v>
      </c>
      <c r="CM7" s="105">
        <f t="shared" si="116"/>
        <v>1818.1818181818182</v>
      </c>
      <c r="CN7" s="105">
        <f t="shared" si="116"/>
        <v>1818.1818181818182</v>
      </c>
      <c r="CO7" s="105">
        <f t="shared" si="116"/>
        <v>1818.1818181818182</v>
      </c>
      <c r="CP7" s="105">
        <f t="shared" si="116"/>
        <v>1818.1818181818182</v>
      </c>
      <c r="CQ7" s="105">
        <f t="shared" si="116"/>
        <v>1818.1818181818182</v>
      </c>
      <c r="CR7" s="105">
        <f t="shared" si="116"/>
        <v>1818.1818181818182</v>
      </c>
      <c r="CS7" s="105">
        <f t="shared" si="116"/>
        <v>1818.1818181818182</v>
      </c>
      <c r="CT7" s="105">
        <f t="shared" si="117"/>
        <v>1818.1818181818182</v>
      </c>
      <c r="CU7" s="105">
        <f t="shared" si="117"/>
        <v>1818.1818181818182</v>
      </c>
      <c r="CV7" s="105">
        <f t="shared" si="117"/>
        <v>1818.1818181818182</v>
      </c>
      <c r="CW7" s="105">
        <f t="shared" si="117"/>
        <v>1818.1818181818182</v>
      </c>
      <c r="CX7" s="105">
        <f t="shared" si="117"/>
        <v>1818.1818181818182</v>
      </c>
      <c r="CY7" s="105">
        <f t="shared" si="117"/>
        <v>1818.1818181818182</v>
      </c>
      <c r="CZ7" s="105">
        <f t="shared" si="117"/>
        <v>1818.1818181818182</v>
      </c>
      <c r="DA7" s="105">
        <f t="shared" si="117"/>
        <v>1818.1818181818182</v>
      </c>
      <c r="DB7" s="105">
        <f t="shared" si="117"/>
        <v>1818.1818181818182</v>
      </c>
      <c r="DC7" s="105">
        <f t="shared" si="117"/>
        <v>1818.1818181818182</v>
      </c>
      <c r="DD7" s="105">
        <f t="shared" si="117"/>
        <v>1818.1818181818182</v>
      </c>
      <c r="DE7" s="105">
        <f t="shared" si="117"/>
        <v>1818.1818181818182</v>
      </c>
      <c r="DF7" s="105">
        <f t="shared" si="117"/>
        <v>1818.1818181818182</v>
      </c>
      <c r="DG7" s="105">
        <f t="shared" si="117"/>
        <v>1818.1818181818182</v>
      </c>
      <c r="DH7" s="105">
        <f t="shared" si="117"/>
        <v>1818.1818181818182</v>
      </c>
      <c r="DI7" s="105">
        <f t="shared" si="117"/>
        <v>1818.1818181818182</v>
      </c>
      <c r="DJ7" s="105">
        <f t="shared" si="118"/>
        <v>1818.1818181818182</v>
      </c>
      <c r="DK7" s="105">
        <f t="shared" si="118"/>
        <v>1818.1818181818182</v>
      </c>
      <c r="DL7" s="105">
        <f t="shared" si="118"/>
        <v>1818.1818181818182</v>
      </c>
      <c r="DM7" s="105">
        <f t="shared" si="118"/>
        <v>1818.1818181818182</v>
      </c>
      <c r="DN7" s="105">
        <f t="shared" si="118"/>
        <v>1818.1818181818182</v>
      </c>
      <c r="DO7" s="105">
        <f t="shared" si="118"/>
        <v>1818.1818181818182</v>
      </c>
      <c r="DP7" s="105">
        <f t="shared" si="118"/>
        <v>1818.1818181818182</v>
      </c>
      <c r="DQ7" s="105">
        <f t="shared" si="118"/>
        <v>1818.1818181818182</v>
      </c>
      <c r="DR7" s="105">
        <f t="shared" si="118"/>
        <v>1818.1818181818182</v>
      </c>
      <c r="DS7" s="105">
        <f t="shared" si="118"/>
        <v>1818.1818181818182</v>
      </c>
      <c r="DT7" s="105">
        <f t="shared" si="118"/>
        <v>1818.1818181818182</v>
      </c>
      <c r="DU7" s="105">
        <f t="shared" si="118"/>
        <v>1818.1818181818182</v>
      </c>
      <c r="DV7" s="105">
        <f t="shared" si="118"/>
        <v>1818.1818181818182</v>
      </c>
      <c r="DW7" s="105">
        <f t="shared" si="118"/>
        <v>1818.1818181818182</v>
      </c>
      <c r="DX7" s="105">
        <f t="shared" si="118"/>
        <v>1818.1818181818182</v>
      </c>
      <c r="DY7" s="105">
        <f t="shared" si="118"/>
        <v>1818.1818181818182</v>
      </c>
      <c r="DZ7" s="105">
        <f t="shared" si="119"/>
        <v>1818.1818181818182</v>
      </c>
      <c r="EA7" s="105">
        <f t="shared" si="119"/>
        <v>1818.1818181818182</v>
      </c>
      <c r="EB7" s="105">
        <f t="shared" si="119"/>
        <v>1818.1818181818182</v>
      </c>
      <c r="EC7" s="105">
        <f t="shared" si="119"/>
        <v>1818.1818181818182</v>
      </c>
      <c r="ED7" s="105">
        <f t="shared" si="119"/>
        <v>1818.1818181818182</v>
      </c>
      <c r="EE7" s="105">
        <f t="shared" si="119"/>
        <v>1818.1818181818182</v>
      </c>
      <c r="EF7" s="105">
        <f t="shared" si="119"/>
        <v>1818.1818181818182</v>
      </c>
      <c r="EG7" s="105">
        <f t="shared" si="119"/>
        <v>1818.1818181818182</v>
      </c>
      <c r="EH7" s="105">
        <f t="shared" si="119"/>
        <v>1818.1818181818182</v>
      </c>
      <c r="EI7" s="105">
        <f t="shared" si="119"/>
        <v>1818.1818181818182</v>
      </c>
      <c r="EJ7" s="105">
        <f t="shared" si="119"/>
        <v>0</v>
      </c>
      <c r="EK7" s="105">
        <f t="shared" si="119"/>
        <v>0</v>
      </c>
      <c r="EL7" s="105">
        <f t="shared" si="119"/>
        <v>0</v>
      </c>
      <c r="EM7" s="105">
        <f t="shared" si="119"/>
        <v>0</v>
      </c>
      <c r="EN7" s="105">
        <f t="shared" si="119"/>
        <v>0</v>
      </c>
      <c r="EO7" s="105">
        <f t="shared" si="119"/>
        <v>0</v>
      </c>
      <c r="EP7" s="105">
        <f t="shared" si="120"/>
        <v>0</v>
      </c>
      <c r="EQ7" s="105">
        <f t="shared" si="120"/>
        <v>0</v>
      </c>
      <c r="ER7" s="105">
        <f t="shared" si="120"/>
        <v>0</v>
      </c>
      <c r="ES7" s="105">
        <f t="shared" si="120"/>
        <v>0</v>
      </c>
      <c r="ET7" s="105">
        <f t="shared" si="120"/>
        <v>0</v>
      </c>
      <c r="EU7" s="105">
        <f t="shared" si="120"/>
        <v>0</v>
      </c>
      <c r="EV7" s="105">
        <f t="shared" si="120"/>
        <v>0</v>
      </c>
      <c r="EW7" s="105">
        <f t="shared" si="120"/>
        <v>0</v>
      </c>
      <c r="EX7" s="105">
        <f t="shared" si="120"/>
        <v>0</v>
      </c>
      <c r="EY7" s="105">
        <f t="shared" si="120"/>
        <v>0</v>
      </c>
      <c r="EZ7" s="105">
        <f t="shared" si="120"/>
        <v>0</v>
      </c>
      <c r="FA7" s="105">
        <f t="shared" si="120"/>
        <v>0</v>
      </c>
      <c r="FB7" s="105">
        <f t="shared" si="120"/>
        <v>0</v>
      </c>
      <c r="FC7" s="105">
        <f t="shared" si="120"/>
        <v>0</v>
      </c>
      <c r="FD7" s="105">
        <f t="shared" si="120"/>
        <v>0</v>
      </c>
      <c r="FE7" s="105">
        <f t="shared" si="120"/>
        <v>0</v>
      </c>
      <c r="FF7" s="105">
        <f t="shared" si="121"/>
        <v>0</v>
      </c>
      <c r="FG7" s="105">
        <f t="shared" si="121"/>
        <v>0</v>
      </c>
      <c r="FH7" s="105">
        <f t="shared" si="121"/>
        <v>0</v>
      </c>
      <c r="FI7" s="105">
        <f t="shared" si="121"/>
        <v>0</v>
      </c>
      <c r="FJ7" s="105">
        <f t="shared" si="121"/>
        <v>0</v>
      </c>
      <c r="FK7" s="105">
        <f t="shared" si="121"/>
        <v>0</v>
      </c>
      <c r="FL7" s="105">
        <f t="shared" si="121"/>
        <v>0</v>
      </c>
      <c r="FM7" s="105">
        <f t="shared" si="121"/>
        <v>0</v>
      </c>
      <c r="FN7" s="105">
        <f t="shared" si="121"/>
        <v>0</v>
      </c>
      <c r="FO7" s="105">
        <f t="shared" si="121"/>
        <v>0</v>
      </c>
      <c r="FP7" s="105">
        <f t="shared" si="121"/>
        <v>0</v>
      </c>
      <c r="FQ7" s="105">
        <f t="shared" si="121"/>
        <v>0</v>
      </c>
      <c r="FR7" s="105">
        <f t="shared" si="121"/>
        <v>0</v>
      </c>
      <c r="FS7" s="105">
        <f t="shared" si="121"/>
        <v>0</v>
      </c>
      <c r="FT7" s="105">
        <f t="shared" si="121"/>
        <v>0</v>
      </c>
      <c r="FU7" s="105">
        <f t="shared" si="121"/>
        <v>0</v>
      </c>
      <c r="FV7" s="105">
        <f t="shared" si="122"/>
        <v>0</v>
      </c>
      <c r="FW7" s="105">
        <f t="shared" si="122"/>
        <v>0</v>
      </c>
      <c r="FX7" s="105">
        <f t="shared" si="122"/>
        <v>0</v>
      </c>
      <c r="FY7" s="105">
        <f t="shared" si="122"/>
        <v>0</v>
      </c>
      <c r="FZ7" s="105">
        <f t="shared" si="122"/>
        <v>0</v>
      </c>
      <c r="GA7" s="105">
        <f t="shared" si="122"/>
        <v>0</v>
      </c>
      <c r="GB7" s="105">
        <f t="shared" si="122"/>
        <v>0</v>
      </c>
      <c r="GC7" s="105">
        <f t="shared" si="122"/>
        <v>0</v>
      </c>
      <c r="GD7" s="105">
        <f t="shared" si="122"/>
        <v>0</v>
      </c>
      <c r="GE7" s="105">
        <f t="shared" si="122"/>
        <v>0</v>
      </c>
      <c r="GF7" s="105">
        <f t="shared" si="122"/>
        <v>0</v>
      </c>
      <c r="GG7" s="105">
        <f t="shared" si="122"/>
        <v>0</v>
      </c>
      <c r="GH7" s="105">
        <f t="shared" si="122"/>
        <v>0</v>
      </c>
      <c r="GI7" s="105">
        <f t="shared" si="122"/>
        <v>0</v>
      </c>
    </row>
    <row r="8" spans="1:191">
      <c r="B8" s="12">
        <v>7</v>
      </c>
      <c r="C8" s="12">
        <v>35</v>
      </c>
      <c r="D8" s="12" t="s">
        <v>482</v>
      </c>
      <c r="E8" s="326" t="s">
        <v>515</v>
      </c>
      <c r="F8" s="321">
        <v>100000</v>
      </c>
      <c r="G8" s="365">
        <f t="shared" si="123"/>
        <v>1818.1818181818182</v>
      </c>
      <c r="H8" s="326">
        <f>INDEX( 'Mortality Table'!$C$5:$I$127, MATCH($C8, 'Mortality Table'!$C$5:$C$127, 0), MATCH($D8,'Mortality Table'!$C$5:$I$5, 0) )</f>
        <v>46.06</v>
      </c>
      <c r="I8" s="12">
        <f t="shared" si="124"/>
        <v>2069</v>
      </c>
      <c r="J8" s="12">
        <f t="shared" si="125"/>
        <v>-100000</v>
      </c>
      <c r="K8" s="231"/>
      <c r="L8" s="105">
        <f t="shared" si="126"/>
        <v>0</v>
      </c>
      <c r="M8" s="105">
        <f t="shared" si="111"/>
        <v>0</v>
      </c>
      <c r="N8" s="105">
        <f t="shared" si="111"/>
        <v>0</v>
      </c>
      <c r="O8" s="105">
        <f t="shared" si="111"/>
        <v>0</v>
      </c>
      <c r="P8" s="105">
        <f t="shared" si="111"/>
        <v>0</v>
      </c>
      <c r="Q8" s="105">
        <f t="shared" si="111"/>
        <v>0</v>
      </c>
      <c r="R8" s="105">
        <f t="shared" si="111"/>
        <v>0</v>
      </c>
      <c r="S8" s="105">
        <f t="shared" si="111"/>
        <v>0</v>
      </c>
      <c r="T8" s="105">
        <f t="shared" si="111"/>
        <v>0</v>
      </c>
      <c r="U8" s="105">
        <f t="shared" si="111"/>
        <v>0</v>
      </c>
      <c r="V8" s="105">
        <f t="shared" si="111"/>
        <v>0</v>
      </c>
      <c r="W8" s="105">
        <f t="shared" si="111"/>
        <v>0</v>
      </c>
      <c r="X8" s="105">
        <f t="shared" si="111"/>
        <v>0</v>
      </c>
      <c r="Y8" s="105">
        <f t="shared" si="111"/>
        <v>0</v>
      </c>
      <c r="Z8" s="105">
        <f t="shared" si="111"/>
        <v>0</v>
      </c>
      <c r="AA8" s="105">
        <f t="shared" si="111"/>
        <v>0</v>
      </c>
      <c r="AB8" s="105">
        <f t="shared" si="111"/>
        <v>0</v>
      </c>
      <c r="AC8" s="105">
        <f t="shared" si="112"/>
        <v>0</v>
      </c>
      <c r="AD8" s="105">
        <f t="shared" si="112"/>
        <v>0</v>
      </c>
      <c r="AE8" s="105">
        <f t="shared" si="112"/>
        <v>0</v>
      </c>
      <c r="AF8" s="105">
        <f t="shared" si="112"/>
        <v>0</v>
      </c>
      <c r="AG8" s="105">
        <f t="shared" si="112"/>
        <v>0</v>
      </c>
      <c r="AH8" s="105">
        <f t="shared" si="112"/>
        <v>0</v>
      </c>
      <c r="AI8" s="105">
        <f t="shared" si="112"/>
        <v>0</v>
      </c>
      <c r="AJ8" s="105">
        <f t="shared" si="112"/>
        <v>0</v>
      </c>
      <c r="AK8" s="105">
        <f t="shared" si="112"/>
        <v>0</v>
      </c>
      <c r="AL8" s="105">
        <f t="shared" si="112"/>
        <v>0</v>
      </c>
      <c r="AM8" s="105">
        <f t="shared" si="112"/>
        <v>0</v>
      </c>
      <c r="AN8" s="105">
        <f t="shared" si="112"/>
        <v>0</v>
      </c>
      <c r="AO8" s="105">
        <f t="shared" si="112"/>
        <v>0</v>
      </c>
      <c r="AP8" s="105">
        <f t="shared" si="112"/>
        <v>0</v>
      </c>
      <c r="AQ8" s="105">
        <f t="shared" si="112"/>
        <v>0</v>
      </c>
      <c r="AR8" s="105">
        <f t="shared" si="112"/>
        <v>0</v>
      </c>
      <c r="AS8" s="105">
        <f t="shared" si="113"/>
        <v>0</v>
      </c>
      <c r="AT8" s="105">
        <f t="shared" si="113"/>
        <v>0</v>
      </c>
      <c r="AU8" s="105">
        <f t="shared" si="113"/>
        <v>0</v>
      </c>
      <c r="AV8" s="105">
        <f t="shared" si="113"/>
        <v>0</v>
      </c>
      <c r="AW8" s="105">
        <f t="shared" si="113"/>
        <v>0</v>
      </c>
      <c r="AX8" s="105">
        <f t="shared" si="113"/>
        <v>0</v>
      </c>
      <c r="AY8" s="105">
        <f t="shared" si="113"/>
        <v>0</v>
      </c>
      <c r="AZ8" s="105">
        <f t="shared" si="113"/>
        <v>0</v>
      </c>
      <c r="BA8" s="105">
        <f t="shared" si="113"/>
        <v>0</v>
      </c>
      <c r="BB8" s="105">
        <f t="shared" si="113"/>
        <v>0</v>
      </c>
      <c r="BC8" s="105">
        <f t="shared" si="113"/>
        <v>0</v>
      </c>
      <c r="BD8" s="105">
        <f t="shared" si="113"/>
        <v>0</v>
      </c>
      <c r="BE8" s="105">
        <f t="shared" si="113"/>
        <v>0</v>
      </c>
      <c r="BF8" s="105">
        <f t="shared" si="113"/>
        <v>-100000</v>
      </c>
      <c r="BG8" s="105">
        <f t="shared" si="113"/>
        <v>0</v>
      </c>
      <c r="BH8" s="105">
        <f t="shared" si="113"/>
        <v>0</v>
      </c>
      <c r="BI8" s="105">
        <f t="shared" si="114"/>
        <v>0</v>
      </c>
      <c r="BJ8" s="105">
        <f t="shared" si="114"/>
        <v>0</v>
      </c>
      <c r="BK8" s="105">
        <f t="shared" si="114"/>
        <v>0</v>
      </c>
      <c r="BL8" s="105">
        <f t="shared" si="114"/>
        <v>0</v>
      </c>
      <c r="BM8" s="105">
        <f t="shared" si="114"/>
        <v>0</v>
      </c>
      <c r="BN8" s="105">
        <f t="shared" si="114"/>
        <v>0</v>
      </c>
      <c r="BO8" s="105">
        <f t="shared" si="114"/>
        <v>0</v>
      </c>
      <c r="BP8" s="105">
        <f t="shared" si="114"/>
        <v>0</v>
      </c>
      <c r="BQ8" s="105">
        <f t="shared" si="114"/>
        <v>0</v>
      </c>
      <c r="BR8" s="105">
        <f t="shared" si="114"/>
        <v>0</v>
      </c>
      <c r="BS8" s="105">
        <f t="shared" si="114"/>
        <v>0</v>
      </c>
      <c r="BT8" s="105">
        <f t="shared" si="114"/>
        <v>0</v>
      </c>
      <c r="BU8" s="105">
        <f t="shared" si="114"/>
        <v>0</v>
      </c>
      <c r="BV8" s="105">
        <f t="shared" si="114"/>
        <v>0</v>
      </c>
      <c r="BW8" s="105">
        <f t="shared" si="114"/>
        <v>0</v>
      </c>
      <c r="BX8" s="105">
        <f t="shared" si="114"/>
        <v>0</v>
      </c>
      <c r="BY8" s="105">
        <f t="shared" si="115"/>
        <v>0</v>
      </c>
      <c r="BZ8" s="105">
        <f t="shared" si="115"/>
        <v>0</v>
      </c>
      <c r="CA8" s="105">
        <f t="shared" si="115"/>
        <v>0</v>
      </c>
      <c r="CC8" s="105">
        <f t="shared" si="127"/>
        <v>1818.1818181818182</v>
      </c>
      <c r="CD8" s="105">
        <f t="shared" si="116"/>
        <v>1818.1818181818182</v>
      </c>
      <c r="CE8" s="105">
        <f t="shared" si="116"/>
        <v>1818.1818181818182</v>
      </c>
      <c r="CF8" s="105">
        <f t="shared" si="116"/>
        <v>1818.1818181818182</v>
      </c>
      <c r="CG8" s="105">
        <f t="shared" si="116"/>
        <v>1818.1818181818182</v>
      </c>
      <c r="CH8" s="105">
        <f t="shared" si="116"/>
        <v>1818.1818181818182</v>
      </c>
      <c r="CI8" s="105">
        <f t="shared" si="116"/>
        <v>1818.1818181818182</v>
      </c>
      <c r="CJ8" s="105">
        <f t="shared" si="116"/>
        <v>1818.1818181818182</v>
      </c>
      <c r="CK8" s="105">
        <f t="shared" si="116"/>
        <v>1818.1818181818182</v>
      </c>
      <c r="CL8" s="105">
        <f t="shared" si="116"/>
        <v>1818.1818181818182</v>
      </c>
      <c r="CM8" s="105">
        <f t="shared" si="116"/>
        <v>1818.1818181818182</v>
      </c>
      <c r="CN8" s="105">
        <f t="shared" si="116"/>
        <v>1818.1818181818182</v>
      </c>
      <c r="CO8" s="105">
        <f t="shared" si="116"/>
        <v>1818.1818181818182</v>
      </c>
      <c r="CP8" s="105">
        <f t="shared" si="116"/>
        <v>1818.1818181818182</v>
      </c>
      <c r="CQ8" s="105">
        <f t="shared" si="116"/>
        <v>1818.1818181818182</v>
      </c>
      <c r="CR8" s="105">
        <f t="shared" si="116"/>
        <v>1818.1818181818182</v>
      </c>
      <c r="CS8" s="105">
        <f t="shared" si="116"/>
        <v>1818.1818181818182</v>
      </c>
      <c r="CT8" s="105">
        <f t="shared" si="117"/>
        <v>1818.1818181818182</v>
      </c>
      <c r="CU8" s="105">
        <f t="shared" si="117"/>
        <v>1818.1818181818182</v>
      </c>
      <c r="CV8" s="105">
        <f t="shared" si="117"/>
        <v>1818.1818181818182</v>
      </c>
      <c r="CW8" s="105">
        <f t="shared" si="117"/>
        <v>1818.1818181818182</v>
      </c>
      <c r="CX8" s="105">
        <f t="shared" si="117"/>
        <v>1818.1818181818182</v>
      </c>
      <c r="CY8" s="105">
        <f t="shared" si="117"/>
        <v>1818.1818181818182</v>
      </c>
      <c r="CZ8" s="105">
        <f t="shared" si="117"/>
        <v>1818.1818181818182</v>
      </c>
      <c r="DA8" s="105">
        <f t="shared" si="117"/>
        <v>1818.1818181818182</v>
      </c>
      <c r="DB8" s="105">
        <f t="shared" si="117"/>
        <v>1818.1818181818182</v>
      </c>
      <c r="DC8" s="105">
        <f t="shared" si="117"/>
        <v>1818.1818181818182</v>
      </c>
      <c r="DD8" s="105">
        <f t="shared" si="117"/>
        <v>1818.1818181818182</v>
      </c>
      <c r="DE8" s="105">
        <f t="shared" si="117"/>
        <v>1818.1818181818182</v>
      </c>
      <c r="DF8" s="105">
        <f t="shared" si="117"/>
        <v>1818.1818181818182</v>
      </c>
      <c r="DG8" s="105">
        <f t="shared" si="117"/>
        <v>1818.1818181818182</v>
      </c>
      <c r="DH8" s="105">
        <f t="shared" si="117"/>
        <v>1818.1818181818182</v>
      </c>
      <c r="DI8" s="105">
        <f t="shared" si="117"/>
        <v>1818.1818181818182</v>
      </c>
      <c r="DJ8" s="105">
        <f t="shared" si="118"/>
        <v>1818.1818181818182</v>
      </c>
      <c r="DK8" s="105">
        <f t="shared" si="118"/>
        <v>1818.1818181818182</v>
      </c>
      <c r="DL8" s="105">
        <f t="shared" si="118"/>
        <v>1818.1818181818182</v>
      </c>
      <c r="DM8" s="105">
        <f t="shared" si="118"/>
        <v>1818.1818181818182</v>
      </c>
      <c r="DN8" s="105">
        <f t="shared" si="118"/>
        <v>1818.1818181818182</v>
      </c>
      <c r="DO8" s="105">
        <f t="shared" si="118"/>
        <v>1818.1818181818182</v>
      </c>
      <c r="DP8" s="105">
        <f t="shared" si="118"/>
        <v>1818.1818181818182</v>
      </c>
      <c r="DQ8" s="105">
        <f t="shared" si="118"/>
        <v>1818.1818181818182</v>
      </c>
      <c r="DR8" s="105">
        <f t="shared" si="118"/>
        <v>1818.1818181818182</v>
      </c>
      <c r="DS8" s="105">
        <f t="shared" si="118"/>
        <v>1818.1818181818182</v>
      </c>
      <c r="DT8" s="105">
        <f t="shared" si="118"/>
        <v>1818.1818181818182</v>
      </c>
      <c r="DU8" s="105">
        <f t="shared" si="118"/>
        <v>1818.1818181818182</v>
      </c>
      <c r="DV8" s="105">
        <f t="shared" si="118"/>
        <v>1818.1818181818182</v>
      </c>
      <c r="DW8" s="105">
        <f t="shared" si="118"/>
        <v>0</v>
      </c>
      <c r="DX8" s="105">
        <f t="shared" si="118"/>
        <v>0</v>
      </c>
      <c r="DY8" s="105">
        <f t="shared" si="118"/>
        <v>0</v>
      </c>
      <c r="DZ8" s="105">
        <f t="shared" si="119"/>
        <v>0</v>
      </c>
      <c r="EA8" s="105">
        <f t="shared" si="119"/>
        <v>0</v>
      </c>
      <c r="EB8" s="105">
        <f t="shared" si="119"/>
        <v>0</v>
      </c>
      <c r="EC8" s="105">
        <f t="shared" si="119"/>
        <v>0</v>
      </c>
      <c r="ED8" s="105">
        <f t="shared" si="119"/>
        <v>0</v>
      </c>
      <c r="EE8" s="105">
        <f t="shared" si="119"/>
        <v>0</v>
      </c>
      <c r="EF8" s="105">
        <f t="shared" si="119"/>
        <v>0</v>
      </c>
      <c r="EG8" s="105">
        <f t="shared" si="119"/>
        <v>0</v>
      </c>
      <c r="EH8" s="105">
        <f t="shared" si="119"/>
        <v>0</v>
      </c>
      <c r="EI8" s="105">
        <f t="shared" si="119"/>
        <v>0</v>
      </c>
      <c r="EJ8" s="105">
        <f t="shared" si="119"/>
        <v>0</v>
      </c>
      <c r="EK8" s="105">
        <f t="shared" si="119"/>
        <v>0</v>
      </c>
      <c r="EL8" s="105">
        <f t="shared" si="119"/>
        <v>0</v>
      </c>
      <c r="EM8" s="105">
        <f t="shared" si="119"/>
        <v>0</v>
      </c>
      <c r="EN8" s="105">
        <f t="shared" si="119"/>
        <v>0</v>
      </c>
      <c r="EO8" s="105">
        <f t="shared" si="119"/>
        <v>0</v>
      </c>
      <c r="EP8" s="105">
        <f t="shared" si="120"/>
        <v>0</v>
      </c>
      <c r="EQ8" s="105">
        <f t="shared" si="120"/>
        <v>0</v>
      </c>
      <c r="ER8" s="105">
        <f t="shared" si="120"/>
        <v>0</v>
      </c>
      <c r="ES8" s="105">
        <f t="shared" si="120"/>
        <v>0</v>
      </c>
      <c r="ET8" s="105">
        <f t="shared" si="120"/>
        <v>0</v>
      </c>
      <c r="EU8" s="105">
        <f t="shared" si="120"/>
        <v>0</v>
      </c>
      <c r="EV8" s="105">
        <f t="shared" si="120"/>
        <v>0</v>
      </c>
      <c r="EW8" s="105">
        <f t="shared" si="120"/>
        <v>0</v>
      </c>
      <c r="EX8" s="105">
        <f t="shared" si="120"/>
        <v>0</v>
      </c>
      <c r="EY8" s="105">
        <f t="shared" si="120"/>
        <v>0</v>
      </c>
      <c r="EZ8" s="105">
        <f t="shared" si="120"/>
        <v>0</v>
      </c>
      <c r="FA8" s="105">
        <f t="shared" si="120"/>
        <v>0</v>
      </c>
      <c r="FB8" s="105">
        <f t="shared" si="120"/>
        <v>0</v>
      </c>
      <c r="FC8" s="105">
        <f t="shared" si="120"/>
        <v>0</v>
      </c>
      <c r="FD8" s="105">
        <f t="shared" si="120"/>
        <v>0</v>
      </c>
      <c r="FE8" s="105">
        <f t="shared" si="120"/>
        <v>0</v>
      </c>
      <c r="FF8" s="105">
        <f t="shared" si="121"/>
        <v>0</v>
      </c>
      <c r="FG8" s="105">
        <f t="shared" si="121"/>
        <v>0</v>
      </c>
      <c r="FH8" s="105">
        <f t="shared" si="121"/>
        <v>0</v>
      </c>
      <c r="FI8" s="105">
        <f t="shared" si="121"/>
        <v>0</v>
      </c>
      <c r="FJ8" s="105">
        <f t="shared" si="121"/>
        <v>0</v>
      </c>
      <c r="FK8" s="105">
        <f t="shared" si="121"/>
        <v>0</v>
      </c>
      <c r="FL8" s="105">
        <f t="shared" si="121"/>
        <v>0</v>
      </c>
      <c r="FM8" s="105">
        <f t="shared" si="121"/>
        <v>0</v>
      </c>
      <c r="FN8" s="105">
        <f t="shared" si="121"/>
        <v>0</v>
      </c>
      <c r="FO8" s="105">
        <f t="shared" si="121"/>
        <v>0</v>
      </c>
      <c r="FP8" s="105">
        <f t="shared" si="121"/>
        <v>0</v>
      </c>
      <c r="FQ8" s="105">
        <f t="shared" si="121"/>
        <v>0</v>
      </c>
      <c r="FR8" s="105">
        <f t="shared" si="121"/>
        <v>0</v>
      </c>
      <c r="FS8" s="105">
        <f t="shared" si="121"/>
        <v>0</v>
      </c>
      <c r="FT8" s="105">
        <f t="shared" si="121"/>
        <v>0</v>
      </c>
      <c r="FU8" s="105">
        <f t="shared" si="121"/>
        <v>0</v>
      </c>
      <c r="FV8" s="105">
        <f t="shared" si="122"/>
        <v>0</v>
      </c>
      <c r="FW8" s="105">
        <f t="shared" si="122"/>
        <v>0</v>
      </c>
      <c r="FX8" s="105">
        <f t="shared" si="122"/>
        <v>0</v>
      </c>
      <c r="FY8" s="105">
        <f t="shared" si="122"/>
        <v>0</v>
      </c>
      <c r="FZ8" s="105">
        <f t="shared" si="122"/>
        <v>0</v>
      </c>
      <c r="GA8" s="105">
        <f t="shared" si="122"/>
        <v>0</v>
      </c>
      <c r="GB8" s="105">
        <f t="shared" si="122"/>
        <v>0</v>
      </c>
      <c r="GC8" s="105">
        <f t="shared" si="122"/>
        <v>0</v>
      </c>
      <c r="GD8" s="105">
        <f t="shared" si="122"/>
        <v>0</v>
      </c>
      <c r="GE8" s="105">
        <f t="shared" si="122"/>
        <v>0</v>
      </c>
      <c r="GF8" s="105">
        <f t="shared" si="122"/>
        <v>0</v>
      </c>
      <c r="GG8" s="105">
        <f t="shared" si="122"/>
        <v>0</v>
      </c>
      <c r="GH8" s="105">
        <f t="shared" si="122"/>
        <v>0</v>
      </c>
      <c r="GI8" s="105">
        <f t="shared" si="122"/>
        <v>0</v>
      </c>
    </row>
    <row r="9" spans="1:191">
      <c r="B9" s="12">
        <v>6</v>
      </c>
      <c r="C9" s="12">
        <v>40</v>
      </c>
      <c r="D9" s="12" t="s">
        <v>481</v>
      </c>
      <c r="E9" s="326" t="s">
        <v>515</v>
      </c>
      <c r="F9" s="321">
        <v>250000</v>
      </c>
      <c r="G9" s="365">
        <f t="shared" si="123"/>
        <v>4545.454545454545</v>
      </c>
      <c r="H9" s="326">
        <f>INDEX( 'Mortality Table'!$C$5:$I$127, MATCH($C9, 'Mortality Table'!$C$5:$C$127, 0), MATCH($D9,'Mortality Table'!$C$5:$I$5, 0) )</f>
        <v>36.97</v>
      </c>
      <c r="I9" s="12">
        <f t="shared" si="124"/>
        <v>2060</v>
      </c>
      <c r="J9" s="12">
        <f t="shared" si="125"/>
        <v>-250000</v>
      </c>
      <c r="K9" s="231"/>
      <c r="L9" s="105">
        <f t="shared" si="126"/>
        <v>0</v>
      </c>
      <c r="M9" s="105">
        <f t="shared" si="111"/>
        <v>0</v>
      </c>
      <c r="N9" s="105">
        <f t="shared" si="111"/>
        <v>0</v>
      </c>
      <c r="O9" s="105">
        <f t="shared" si="111"/>
        <v>0</v>
      </c>
      <c r="P9" s="105">
        <f t="shared" si="111"/>
        <v>0</v>
      </c>
      <c r="Q9" s="105">
        <f t="shared" si="111"/>
        <v>0</v>
      </c>
      <c r="R9" s="105">
        <f t="shared" si="111"/>
        <v>0</v>
      </c>
      <c r="S9" s="105">
        <f t="shared" si="111"/>
        <v>0</v>
      </c>
      <c r="T9" s="105">
        <f t="shared" si="111"/>
        <v>0</v>
      </c>
      <c r="U9" s="105">
        <f t="shared" si="111"/>
        <v>0</v>
      </c>
      <c r="V9" s="105">
        <f t="shared" si="111"/>
        <v>0</v>
      </c>
      <c r="W9" s="105">
        <f t="shared" si="111"/>
        <v>0</v>
      </c>
      <c r="X9" s="105">
        <f t="shared" si="111"/>
        <v>0</v>
      </c>
      <c r="Y9" s="105">
        <f t="shared" si="111"/>
        <v>0</v>
      </c>
      <c r="Z9" s="105">
        <f t="shared" si="111"/>
        <v>0</v>
      </c>
      <c r="AA9" s="105">
        <f t="shared" si="111"/>
        <v>0</v>
      </c>
      <c r="AB9" s="105">
        <f t="shared" si="111"/>
        <v>0</v>
      </c>
      <c r="AC9" s="105">
        <f t="shared" si="112"/>
        <v>0</v>
      </c>
      <c r="AD9" s="105">
        <f t="shared" si="112"/>
        <v>0</v>
      </c>
      <c r="AE9" s="105">
        <f t="shared" si="112"/>
        <v>0</v>
      </c>
      <c r="AF9" s="105">
        <f t="shared" si="112"/>
        <v>0</v>
      </c>
      <c r="AG9" s="105">
        <f t="shared" si="112"/>
        <v>0</v>
      </c>
      <c r="AH9" s="105">
        <f t="shared" si="112"/>
        <v>0</v>
      </c>
      <c r="AI9" s="105">
        <f t="shared" si="112"/>
        <v>0</v>
      </c>
      <c r="AJ9" s="105">
        <f t="shared" si="112"/>
        <v>0</v>
      </c>
      <c r="AK9" s="105">
        <f t="shared" si="112"/>
        <v>0</v>
      </c>
      <c r="AL9" s="105">
        <f t="shared" si="112"/>
        <v>0</v>
      </c>
      <c r="AM9" s="105">
        <f t="shared" si="112"/>
        <v>0</v>
      </c>
      <c r="AN9" s="105">
        <f t="shared" si="112"/>
        <v>0</v>
      </c>
      <c r="AO9" s="105">
        <f t="shared" si="112"/>
        <v>0</v>
      </c>
      <c r="AP9" s="105">
        <f t="shared" si="112"/>
        <v>0</v>
      </c>
      <c r="AQ9" s="105">
        <f t="shared" si="112"/>
        <v>0</v>
      </c>
      <c r="AR9" s="105">
        <f t="shared" si="112"/>
        <v>0</v>
      </c>
      <c r="AS9" s="105">
        <f t="shared" si="113"/>
        <v>0</v>
      </c>
      <c r="AT9" s="105">
        <f t="shared" si="113"/>
        <v>0</v>
      </c>
      <c r="AU9" s="105">
        <f t="shared" si="113"/>
        <v>0</v>
      </c>
      <c r="AV9" s="105">
        <f t="shared" si="113"/>
        <v>0</v>
      </c>
      <c r="AW9" s="105">
        <f t="shared" si="113"/>
        <v>-250000</v>
      </c>
      <c r="AX9" s="105">
        <f t="shared" si="113"/>
        <v>0</v>
      </c>
      <c r="AY9" s="105">
        <f t="shared" si="113"/>
        <v>0</v>
      </c>
      <c r="AZ9" s="105">
        <f t="shared" si="113"/>
        <v>0</v>
      </c>
      <c r="BA9" s="105">
        <f t="shared" si="113"/>
        <v>0</v>
      </c>
      <c r="BB9" s="105">
        <f t="shared" si="113"/>
        <v>0</v>
      </c>
      <c r="BC9" s="105">
        <f t="shared" si="113"/>
        <v>0</v>
      </c>
      <c r="BD9" s="105">
        <f t="shared" si="113"/>
        <v>0</v>
      </c>
      <c r="BE9" s="105">
        <f t="shared" si="113"/>
        <v>0</v>
      </c>
      <c r="BF9" s="105">
        <f t="shared" si="113"/>
        <v>0</v>
      </c>
      <c r="BG9" s="105">
        <f t="shared" si="113"/>
        <v>0</v>
      </c>
      <c r="BH9" s="105">
        <f t="shared" si="113"/>
        <v>0</v>
      </c>
      <c r="BI9" s="105">
        <f t="shared" si="114"/>
        <v>0</v>
      </c>
      <c r="BJ9" s="105">
        <f t="shared" si="114"/>
        <v>0</v>
      </c>
      <c r="BK9" s="105">
        <f t="shared" si="114"/>
        <v>0</v>
      </c>
      <c r="BL9" s="105">
        <f t="shared" si="114"/>
        <v>0</v>
      </c>
      <c r="BM9" s="105">
        <f t="shared" si="114"/>
        <v>0</v>
      </c>
      <c r="BN9" s="105">
        <f t="shared" si="114"/>
        <v>0</v>
      </c>
      <c r="BO9" s="105">
        <f t="shared" si="114"/>
        <v>0</v>
      </c>
      <c r="BP9" s="105">
        <f t="shared" si="114"/>
        <v>0</v>
      </c>
      <c r="BQ9" s="105">
        <f t="shared" si="114"/>
        <v>0</v>
      </c>
      <c r="BR9" s="105">
        <f t="shared" si="114"/>
        <v>0</v>
      </c>
      <c r="BS9" s="105">
        <f t="shared" si="114"/>
        <v>0</v>
      </c>
      <c r="BT9" s="105">
        <f t="shared" si="114"/>
        <v>0</v>
      </c>
      <c r="BU9" s="105">
        <f t="shared" si="114"/>
        <v>0</v>
      </c>
      <c r="BV9" s="105">
        <f t="shared" si="114"/>
        <v>0</v>
      </c>
      <c r="BW9" s="105">
        <f t="shared" si="114"/>
        <v>0</v>
      </c>
      <c r="BX9" s="105">
        <f t="shared" si="114"/>
        <v>0</v>
      </c>
      <c r="BY9" s="105">
        <f t="shared" si="115"/>
        <v>0</v>
      </c>
      <c r="BZ9" s="105">
        <f t="shared" si="115"/>
        <v>0</v>
      </c>
      <c r="CA9" s="105">
        <f t="shared" si="115"/>
        <v>0</v>
      </c>
      <c r="CC9" s="105">
        <f t="shared" si="127"/>
        <v>4545.454545454545</v>
      </c>
      <c r="CD9" s="105">
        <f t="shared" si="116"/>
        <v>4545.454545454545</v>
      </c>
      <c r="CE9" s="105">
        <f t="shared" si="116"/>
        <v>4545.454545454545</v>
      </c>
      <c r="CF9" s="105">
        <f t="shared" si="116"/>
        <v>4545.454545454545</v>
      </c>
      <c r="CG9" s="105">
        <f t="shared" si="116"/>
        <v>4545.454545454545</v>
      </c>
      <c r="CH9" s="105">
        <f t="shared" si="116"/>
        <v>4545.454545454545</v>
      </c>
      <c r="CI9" s="105">
        <f t="shared" si="116"/>
        <v>4545.454545454545</v>
      </c>
      <c r="CJ9" s="105">
        <f t="shared" si="116"/>
        <v>4545.454545454545</v>
      </c>
      <c r="CK9" s="105">
        <f t="shared" si="116"/>
        <v>4545.454545454545</v>
      </c>
      <c r="CL9" s="105">
        <f t="shared" si="116"/>
        <v>4545.454545454545</v>
      </c>
      <c r="CM9" s="105">
        <f t="shared" si="116"/>
        <v>4545.454545454545</v>
      </c>
      <c r="CN9" s="105">
        <f t="shared" si="116"/>
        <v>4545.454545454545</v>
      </c>
      <c r="CO9" s="105">
        <f t="shared" si="116"/>
        <v>4545.454545454545</v>
      </c>
      <c r="CP9" s="105">
        <f t="shared" si="116"/>
        <v>4545.454545454545</v>
      </c>
      <c r="CQ9" s="105">
        <f t="shared" si="116"/>
        <v>4545.454545454545</v>
      </c>
      <c r="CR9" s="105">
        <f t="shared" si="116"/>
        <v>4545.454545454545</v>
      </c>
      <c r="CS9" s="105">
        <f t="shared" si="116"/>
        <v>4545.454545454545</v>
      </c>
      <c r="CT9" s="105">
        <f t="shared" si="117"/>
        <v>4545.454545454545</v>
      </c>
      <c r="CU9" s="105">
        <f t="shared" si="117"/>
        <v>4545.454545454545</v>
      </c>
      <c r="CV9" s="105">
        <f t="shared" si="117"/>
        <v>4545.454545454545</v>
      </c>
      <c r="CW9" s="105">
        <f t="shared" si="117"/>
        <v>4545.454545454545</v>
      </c>
      <c r="CX9" s="105">
        <f t="shared" si="117"/>
        <v>4545.454545454545</v>
      </c>
      <c r="CY9" s="105">
        <f t="shared" si="117"/>
        <v>4545.454545454545</v>
      </c>
      <c r="CZ9" s="105">
        <f t="shared" si="117"/>
        <v>4545.454545454545</v>
      </c>
      <c r="DA9" s="105">
        <f t="shared" si="117"/>
        <v>4545.454545454545</v>
      </c>
      <c r="DB9" s="105">
        <f t="shared" si="117"/>
        <v>4545.454545454545</v>
      </c>
      <c r="DC9" s="105">
        <f t="shared" si="117"/>
        <v>4545.454545454545</v>
      </c>
      <c r="DD9" s="105">
        <f t="shared" si="117"/>
        <v>4545.454545454545</v>
      </c>
      <c r="DE9" s="105">
        <f t="shared" si="117"/>
        <v>4545.454545454545</v>
      </c>
      <c r="DF9" s="105">
        <f t="shared" si="117"/>
        <v>4545.454545454545</v>
      </c>
      <c r="DG9" s="105">
        <f t="shared" si="117"/>
        <v>4545.454545454545</v>
      </c>
      <c r="DH9" s="105">
        <f t="shared" si="117"/>
        <v>4545.454545454545</v>
      </c>
      <c r="DI9" s="105">
        <f t="shared" si="117"/>
        <v>4545.454545454545</v>
      </c>
      <c r="DJ9" s="105">
        <f t="shared" si="118"/>
        <v>4545.454545454545</v>
      </c>
      <c r="DK9" s="105">
        <f t="shared" si="118"/>
        <v>4545.454545454545</v>
      </c>
      <c r="DL9" s="105">
        <f t="shared" si="118"/>
        <v>4545.454545454545</v>
      </c>
      <c r="DM9" s="105">
        <f t="shared" si="118"/>
        <v>4545.454545454545</v>
      </c>
      <c r="DN9" s="105">
        <f t="shared" si="118"/>
        <v>0</v>
      </c>
      <c r="DO9" s="105">
        <f t="shared" si="118"/>
        <v>0</v>
      </c>
      <c r="DP9" s="105">
        <f t="shared" si="118"/>
        <v>0</v>
      </c>
      <c r="DQ9" s="105">
        <f t="shared" si="118"/>
        <v>0</v>
      </c>
      <c r="DR9" s="105">
        <f t="shared" si="118"/>
        <v>0</v>
      </c>
      <c r="DS9" s="105">
        <f t="shared" si="118"/>
        <v>0</v>
      </c>
      <c r="DT9" s="105">
        <f t="shared" si="118"/>
        <v>0</v>
      </c>
      <c r="DU9" s="105">
        <f t="shared" si="118"/>
        <v>0</v>
      </c>
      <c r="DV9" s="105">
        <f t="shared" si="118"/>
        <v>0</v>
      </c>
      <c r="DW9" s="105">
        <f t="shared" si="118"/>
        <v>0</v>
      </c>
      <c r="DX9" s="105">
        <f t="shared" si="118"/>
        <v>0</v>
      </c>
      <c r="DY9" s="105">
        <f t="shared" si="118"/>
        <v>0</v>
      </c>
      <c r="DZ9" s="105">
        <f t="shared" si="119"/>
        <v>0</v>
      </c>
      <c r="EA9" s="105">
        <f t="shared" si="119"/>
        <v>0</v>
      </c>
      <c r="EB9" s="105">
        <f t="shared" si="119"/>
        <v>0</v>
      </c>
      <c r="EC9" s="105">
        <f t="shared" si="119"/>
        <v>0</v>
      </c>
      <c r="ED9" s="105">
        <f t="shared" si="119"/>
        <v>0</v>
      </c>
      <c r="EE9" s="105">
        <f t="shared" si="119"/>
        <v>0</v>
      </c>
      <c r="EF9" s="105">
        <f t="shared" si="119"/>
        <v>0</v>
      </c>
      <c r="EG9" s="105">
        <f t="shared" si="119"/>
        <v>0</v>
      </c>
      <c r="EH9" s="105">
        <f t="shared" si="119"/>
        <v>0</v>
      </c>
      <c r="EI9" s="105">
        <f t="shared" si="119"/>
        <v>0</v>
      </c>
      <c r="EJ9" s="105">
        <f t="shared" si="119"/>
        <v>0</v>
      </c>
      <c r="EK9" s="105">
        <f t="shared" si="119"/>
        <v>0</v>
      </c>
      <c r="EL9" s="105">
        <f t="shared" si="119"/>
        <v>0</v>
      </c>
      <c r="EM9" s="105">
        <f t="shared" si="119"/>
        <v>0</v>
      </c>
      <c r="EN9" s="105">
        <f t="shared" si="119"/>
        <v>0</v>
      </c>
      <c r="EO9" s="105">
        <f t="shared" si="119"/>
        <v>0</v>
      </c>
      <c r="EP9" s="105">
        <f t="shared" si="120"/>
        <v>0</v>
      </c>
      <c r="EQ9" s="105">
        <f t="shared" si="120"/>
        <v>0</v>
      </c>
      <c r="ER9" s="105">
        <f t="shared" si="120"/>
        <v>0</v>
      </c>
      <c r="ES9" s="105">
        <f t="shared" si="120"/>
        <v>0</v>
      </c>
      <c r="ET9" s="105">
        <f t="shared" si="120"/>
        <v>0</v>
      </c>
      <c r="EU9" s="105">
        <f t="shared" si="120"/>
        <v>0</v>
      </c>
      <c r="EV9" s="105">
        <f t="shared" si="120"/>
        <v>0</v>
      </c>
      <c r="EW9" s="105">
        <f t="shared" si="120"/>
        <v>0</v>
      </c>
      <c r="EX9" s="105">
        <f t="shared" si="120"/>
        <v>0</v>
      </c>
      <c r="EY9" s="105">
        <f t="shared" si="120"/>
        <v>0</v>
      </c>
      <c r="EZ9" s="105">
        <f t="shared" si="120"/>
        <v>0</v>
      </c>
      <c r="FA9" s="105">
        <f t="shared" si="120"/>
        <v>0</v>
      </c>
      <c r="FB9" s="105">
        <f t="shared" si="120"/>
        <v>0</v>
      </c>
      <c r="FC9" s="105">
        <f t="shared" si="120"/>
        <v>0</v>
      </c>
      <c r="FD9" s="105">
        <f t="shared" si="120"/>
        <v>0</v>
      </c>
      <c r="FE9" s="105">
        <f t="shared" si="120"/>
        <v>0</v>
      </c>
      <c r="FF9" s="105">
        <f t="shared" si="121"/>
        <v>0</v>
      </c>
      <c r="FG9" s="105">
        <f t="shared" si="121"/>
        <v>0</v>
      </c>
      <c r="FH9" s="105">
        <f t="shared" si="121"/>
        <v>0</v>
      </c>
      <c r="FI9" s="105">
        <f t="shared" si="121"/>
        <v>0</v>
      </c>
      <c r="FJ9" s="105">
        <f t="shared" si="121"/>
        <v>0</v>
      </c>
      <c r="FK9" s="105">
        <f t="shared" si="121"/>
        <v>0</v>
      </c>
      <c r="FL9" s="105">
        <f t="shared" si="121"/>
        <v>0</v>
      </c>
      <c r="FM9" s="105">
        <f t="shared" si="121"/>
        <v>0</v>
      </c>
      <c r="FN9" s="105">
        <f t="shared" si="121"/>
        <v>0</v>
      </c>
      <c r="FO9" s="105">
        <f t="shared" si="121"/>
        <v>0</v>
      </c>
      <c r="FP9" s="105">
        <f t="shared" si="121"/>
        <v>0</v>
      </c>
      <c r="FQ9" s="105">
        <f t="shared" si="121"/>
        <v>0</v>
      </c>
      <c r="FR9" s="105">
        <f t="shared" si="121"/>
        <v>0</v>
      </c>
      <c r="FS9" s="105">
        <f t="shared" si="121"/>
        <v>0</v>
      </c>
      <c r="FT9" s="105">
        <f t="shared" si="121"/>
        <v>0</v>
      </c>
      <c r="FU9" s="105">
        <f t="shared" si="121"/>
        <v>0</v>
      </c>
      <c r="FV9" s="105">
        <f t="shared" si="122"/>
        <v>0</v>
      </c>
      <c r="FW9" s="105">
        <f t="shared" si="122"/>
        <v>0</v>
      </c>
      <c r="FX9" s="105">
        <f t="shared" si="122"/>
        <v>0</v>
      </c>
      <c r="FY9" s="105">
        <f t="shared" si="122"/>
        <v>0</v>
      </c>
      <c r="FZ9" s="105">
        <f t="shared" si="122"/>
        <v>0</v>
      </c>
      <c r="GA9" s="105">
        <f t="shared" si="122"/>
        <v>0</v>
      </c>
      <c r="GB9" s="105">
        <f t="shared" si="122"/>
        <v>0</v>
      </c>
      <c r="GC9" s="105">
        <f t="shared" si="122"/>
        <v>0</v>
      </c>
      <c r="GD9" s="105">
        <f t="shared" si="122"/>
        <v>0</v>
      </c>
      <c r="GE9" s="105">
        <f t="shared" si="122"/>
        <v>0</v>
      </c>
      <c r="GF9" s="105">
        <f t="shared" si="122"/>
        <v>0</v>
      </c>
      <c r="GG9" s="105">
        <f t="shared" si="122"/>
        <v>0</v>
      </c>
      <c r="GH9" s="105">
        <f t="shared" si="122"/>
        <v>0</v>
      </c>
      <c r="GI9" s="105">
        <f t="shared" si="122"/>
        <v>0</v>
      </c>
    </row>
    <row r="10" spans="1:191" ht="15">
      <c r="B10" s="12">
        <v>2</v>
      </c>
      <c r="C10" s="12">
        <v>44</v>
      </c>
      <c r="D10" s="12" t="s">
        <v>482</v>
      </c>
      <c r="E10" s="326" t="s">
        <v>515</v>
      </c>
      <c r="F10" s="321">
        <v>100000</v>
      </c>
      <c r="G10" s="365">
        <f t="shared" si="123"/>
        <v>1818.1818181818182</v>
      </c>
      <c r="H10" s="326">
        <f>INDEX( 'Mortality Table'!$C$5:$I$127, MATCH($C10, 'Mortality Table'!$C$5:$C$127, 0), MATCH($D10,'Mortality Table'!$C$5:$I$5, 0) )</f>
        <v>37.68</v>
      </c>
      <c r="I10" s="12">
        <f t="shared" si="124"/>
        <v>2061</v>
      </c>
      <c r="J10" s="12">
        <f t="shared" si="125"/>
        <v>-100000</v>
      </c>
      <c r="K10" s="232"/>
      <c r="L10" s="105">
        <f t="shared" si="126"/>
        <v>0</v>
      </c>
      <c r="M10" s="105">
        <f t="shared" si="111"/>
        <v>0</v>
      </c>
      <c r="N10" s="105">
        <f t="shared" si="111"/>
        <v>0</v>
      </c>
      <c r="O10" s="105">
        <f t="shared" si="111"/>
        <v>0</v>
      </c>
      <c r="P10" s="105">
        <f t="shared" si="111"/>
        <v>0</v>
      </c>
      <c r="Q10" s="105">
        <f t="shared" si="111"/>
        <v>0</v>
      </c>
      <c r="R10" s="105">
        <f t="shared" si="111"/>
        <v>0</v>
      </c>
      <c r="S10" s="105">
        <f t="shared" si="111"/>
        <v>0</v>
      </c>
      <c r="T10" s="105">
        <f t="shared" si="111"/>
        <v>0</v>
      </c>
      <c r="U10" s="105">
        <f t="shared" si="111"/>
        <v>0</v>
      </c>
      <c r="V10" s="105">
        <f t="shared" si="111"/>
        <v>0</v>
      </c>
      <c r="W10" s="105">
        <f t="shared" si="111"/>
        <v>0</v>
      </c>
      <c r="X10" s="105">
        <f t="shared" si="111"/>
        <v>0</v>
      </c>
      <c r="Y10" s="105">
        <f t="shared" si="111"/>
        <v>0</v>
      </c>
      <c r="Z10" s="105">
        <f t="shared" si="111"/>
        <v>0</v>
      </c>
      <c r="AA10" s="105">
        <f t="shared" si="111"/>
        <v>0</v>
      </c>
      <c r="AB10" s="105">
        <f t="shared" si="111"/>
        <v>0</v>
      </c>
      <c r="AC10" s="105">
        <f t="shared" si="112"/>
        <v>0</v>
      </c>
      <c r="AD10" s="105">
        <f t="shared" si="112"/>
        <v>0</v>
      </c>
      <c r="AE10" s="105">
        <f t="shared" si="112"/>
        <v>0</v>
      </c>
      <c r="AF10" s="105">
        <f t="shared" si="112"/>
        <v>0</v>
      </c>
      <c r="AG10" s="105">
        <f t="shared" si="112"/>
        <v>0</v>
      </c>
      <c r="AH10" s="105">
        <f t="shared" si="112"/>
        <v>0</v>
      </c>
      <c r="AI10" s="105">
        <f t="shared" si="112"/>
        <v>0</v>
      </c>
      <c r="AJ10" s="105">
        <f t="shared" si="112"/>
        <v>0</v>
      </c>
      <c r="AK10" s="105">
        <f t="shared" si="112"/>
        <v>0</v>
      </c>
      <c r="AL10" s="105">
        <f t="shared" si="112"/>
        <v>0</v>
      </c>
      <c r="AM10" s="105">
        <f t="shared" si="112"/>
        <v>0</v>
      </c>
      <c r="AN10" s="105">
        <f t="shared" si="112"/>
        <v>0</v>
      </c>
      <c r="AO10" s="105">
        <f t="shared" si="112"/>
        <v>0</v>
      </c>
      <c r="AP10" s="105">
        <f t="shared" si="112"/>
        <v>0</v>
      </c>
      <c r="AQ10" s="105">
        <f t="shared" si="112"/>
        <v>0</v>
      </c>
      <c r="AR10" s="105">
        <f t="shared" si="112"/>
        <v>0</v>
      </c>
      <c r="AS10" s="105">
        <f t="shared" si="113"/>
        <v>0</v>
      </c>
      <c r="AT10" s="105">
        <f t="shared" si="113"/>
        <v>0</v>
      </c>
      <c r="AU10" s="105">
        <f t="shared" si="113"/>
        <v>0</v>
      </c>
      <c r="AV10" s="105">
        <f t="shared" si="113"/>
        <v>0</v>
      </c>
      <c r="AW10" s="105">
        <f t="shared" si="113"/>
        <v>0</v>
      </c>
      <c r="AX10" s="105">
        <f t="shared" si="113"/>
        <v>-100000</v>
      </c>
      <c r="AY10" s="105">
        <f t="shared" si="113"/>
        <v>0</v>
      </c>
      <c r="AZ10" s="105">
        <f t="shared" si="113"/>
        <v>0</v>
      </c>
      <c r="BA10" s="105">
        <f t="shared" si="113"/>
        <v>0</v>
      </c>
      <c r="BB10" s="105">
        <f t="shared" si="113"/>
        <v>0</v>
      </c>
      <c r="BC10" s="105">
        <f t="shared" si="113"/>
        <v>0</v>
      </c>
      <c r="BD10" s="105">
        <f t="shared" si="113"/>
        <v>0</v>
      </c>
      <c r="BE10" s="105">
        <f t="shared" si="113"/>
        <v>0</v>
      </c>
      <c r="BF10" s="105">
        <f t="shared" si="113"/>
        <v>0</v>
      </c>
      <c r="BG10" s="105">
        <f t="shared" si="113"/>
        <v>0</v>
      </c>
      <c r="BH10" s="105">
        <f t="shared" si="113"/>
        <v>0</v>
      </c>
      <c r="BI10" s="105">
        <f t="shared" si="114"/>
        <v>0</v>
      </c>
      <c r="BJ10" s="105">
        <f t="shared" si="114"/>
        <v>0</v>
      </c>
      <c r="BK10" s="105">
        <f t="shared" si="114"/>
        <v>0</v>
      </c>
      <c r="BL10" s="105">
        <f t="shared" si="114"/>
        <v>0</v>
      </c>
      <c r="BM10" s="105">
        <f t="shared" si="114"/>
        <v>0</v>
      </c>
      <c r="BN10" s="105">
        <f t="shared" si="114"/>
        <v>0</v>
      </c>
      <c r="BO10" s="105">
        <f t="shared" si="114"/>
        <v>0</v>
      </c>
      <c r="BP10" s="105">
        <f t="shared" si="114"/>
        <v>0</v>
      </c>
      <c r="BQ10" s="105">
        <f t="shared" si="114"/>
        <v>0</v>
      </c>
      <c r="BR10" s="105">
        <f t="shared" si="114"/>
        <v>0</v>
      </c>
      <c r="BS10" s="105">
        <f t="shared" si="114"/>
        <v>0</v>
      </c>
      <c r="BT10" s="105">
        <f t="shared" si="114"/>
        <v>0</v>
      </c>
      <c r="BU10" s="105">
        <f t="shared" si="114"/>
        <v>0</v>
      </c>
      <c r="BV10" s="105">
        <f t="shared" si="114"/>
        <v>0</v>
      </c>
      <c r="BW10" s="105">
        <f t="shared" si="114"/>
        <v>0</v>
      </c>
      <c r="BX10" s="105">
        <f t="shared" si="114"/>
        <v>0</v>
      </c>
      <c r="BY10" s="105">
        <f t="shared" si="115"/>
        <v>0</v>
      </c>
      <c r="BZ10" s="105">
        <f t="shared" si="115"/>
        <v>0</v>
      </c>
      <c r="CA10" s="105">
        <f t="shared" si="115"/>
        <v>0</v>
      </c>
      <c r="CC10" s="105">
        <f t="shared" si="127"/>
        <v>1818.1818181818182</v>
      </c>
      <c r="CD10" s="105">
        <f t="shared" si="116"/>
        <v>1818.1818181818182</v>
      </c>
      <c r="CE10" s="105">
        <f t="shared" si="116"/>
        <v>1818.1818181818182</v>
      </c>
      <c r="CF10" s="105">
        <f t="shared" si="116"/>
        <v>1818.1818181818182</v>
      </c>
      <c r="CG10" s="105">
        <f t="shared" si="116"/>
        <v>1818.1818181818182</v>
      </c>
      <c r="CH10" s="105">
        <f t="shared" si="116"/>
        <v>1818.1818181818182</v>
      </c>
      <c r="CI10" s="105">
        <f t="shared" si="116"/>
        <v>1818.1818181818182</v>
      </c>
      <c r="CJ10" s="105">
        <f t="shared" si="116"/>
        <v>1818.1818181818182</v>
      </c>
      <c r="CK10" s="105">
        <f t="shared" si="116"/>
        <v>1818.1818181818182</v>
      </c>
      <c r="CL10" s="105">
        <f t="shared" si="116"/>
        <v>1818.1818181818182</v>
      </c>
      <c r="CM10" s="105">
        <f t="shared" si="116"/>
        <v>1818.1818181818182</v>
      </c>
      <c r="CN10" s="105">
        <f t="shared" si="116"/>
        <v>1818.1818181818182</v>
      </c>
      <c r="CO10" s="105">
        <f t="shared" si="116"/>
        <v>1818.1818181818182</v>
      </c>
      <c r="CP10" s="105">
        <f t="shared" si="116"/>
        <v>1818.1818181818182</v>
      </c>
      <c r="CQ10" s="105">
        <f t="shared" si="116"/>
        <v>1818.1818181818182</v>
      </c>
      <c r="CR10" s="105">
        <f t="shared" si="116"/>
        <v>1818.1818181818182</v>
      </c>
      <c r="CS10" s="105">
        <f t="shared" si="116"/>
        <v>1818.1818181818182</v>
      </c>
      <c r="CT10" s="105">
        <f t="shared" si="117"/>
        <v>1818.1818181818182</v>
      </c>
      <c r="CU10" s="105">
        <f t="shared" si="117"/>
        <v>1818.1818181818182</v>
      </c>
      <c r="CV10" s="105">
        <f t="shared" si="117"/>
        <v>1818.1818181818182</v>
      </c>
      <c r="CW10" s="105">
        <f t="shared" si="117"/>
        <v>1818.1818181818182</v>
      </c>
      <c r="CX10" s="105">
        <f t="shared" si="117"/>
        <v>1818.1818181818182</v>
      </c>
      <c r="CY10" s="105">
        <f t="shared" si="117"/>
        <v>1818.1818181818182</v>
      </c>
      <c r="CZ10" s="105">
        <f t="shared" si="117"/>
        <v>1818.1818181818182</v>
      </c>
      <c r="DA10" s="105">
        <f t="shared" si="117"/>
        <v>1818.1818181818182</v>
      </c>
      <c r="DB10" s="105">
        <f t="shared" si="117"/>
        <v>1818.1818181818182</v>
      </c>
      <c r="DC10" s="105">
        <f t="shared" si="117"/>
        <v>1818.1818181818182</v>
      </c>
      <c r="DD10" s="105">
        <f t="shared" si="117"/>
        <v>1818.1818181818182</v>
      </c>
      <c r="DE10" s="105">
        <f t="shared" si="117"/>
        <v>1818.1818181818182</v>
      </c>
      <c r="DF10" s="105">
        <f t="shared" si="117"/>
        <v>1818.1818181818182</v>
      </c>
      <c r="DG10" s="105">
        <f t="shared" si="117"/>
        <v>1818.1818181818182</v>
      </c>
      <c r="DH10" s="105">
        <f t="shared" si="117"/>
        <v>1818.1818181818182</v>
      </c>
      <c r="DI10" s="105">
        <f t="shared" si="117"/>
        <v>1818.1818181818182</v>
      </c>
      <c r="DJ10" s="105">
        <f t="shared" si="118"/>
        <v>1818.1818181818182</v>
      </c>
      <c r="DK10" s="105">
        <f t="shared" si="118"/>
        <v>1818.1818181818182</v>
      </c>
      <c r="DL10" s="105">
        <f t="shared" si="118"/>
        <v>1818.1818181818182</v>
      </c>
      <c r="DM10" s="105">
        <f t="shared" si="118"/>
        <v>1818.1818181818182</v>
      </c>
      <c r="DN10" s="105">
        <f t="shared" si="118"/>
        <v>1818.1818181818182</v>
      </c>
      <c r="DO10" s="105">
        <f t="shared" si="118"/>
        <v>0</v>
      </c>
      <c r="DP10" s="105">
        <f t="shared" si="118"/>
        <v>0</v>
      </c>
      <c r="DQ10" s="105">
        <f t="shared" si="118"/>
        <v>0</v>
      </c>
      <c r="DR10" s="105">
        <f t="shared" si="118"/>
        <v>0</v>
      </c>
      <c r="DS10" s="105">
        <f t="shared" si="118"/>
        <v>0</v>
      </c>
      <c r="DT10" s="105">
        <f t="shared" si="118"/>
        <v>0</v>
      </c>
      <c r="DU10" s="105">
        <f t="shared" si="118"/>
        <v>0</v>
      </c>
      <c r="DV10" s="105">
        <f t="shared" si="118"/>
        <v>0</v>
      </c>
      <c r="DW10" s="105">
        <f t="shared" si="118"/>
        <v>0</v>
      </c>
      <c r="DX10" s="105">
        <f t="shared" si="118"/>
        <v>0</v>
      </c>
      <c r="DY10" s="105">
        <f t="shared" si="118"/>
        <v>0</v>
      </c>
      <c r="DZ10" s="105">
        <f t="shared" si="119"/>
        <v>0</v>
      </c>
      <c r="EA10" s="105">
        <f t="shared" si="119"/>
        <v>0</v>
      </c>
      <c r="EB10" s="105">
        <f t="shared" si="119"/>
        <v>0</v>
      </c>
      <c r="EC10" s="105">
        <f t="shared" si="119"/>
        <v>0</v>
      </c>
      <c r="ED10" s="105">
        <f t="shared" si="119"/>
        <v>0</v>
      </c>
      <c r="EE10" s="105">
        <f t="shared" si="119"/>
        <v>0</v>
      </c>
      <c r="EF10" s="105">
        <f t="shared" si="119"/>
        <v>0</v>
      </c>
      <c r="EG10" s="105">
        <f t="shared" si="119"/>
        <v>0</v>
      </c>
      <c r="EH10" s="105">
        <f t="shared" si="119"/>
        <v>0</v>
      </c>
      <c r="EI10" s="105">
        <f t="shared" si="119"/>
        <v>0</v>
      </c>
      <c r="EJ10" s="105">
        <f t="shared" si="119"/>
        <v>0</v>
      </c>
      <c r="EK10" s="105">
        <f t="shared" si="119"/>
        <v>0</v>
      </c>
      <c r="EL10" s="105">
        <f t="shared" si="119"/>
        <v>0</v>
      </c>
      <c r="EM10" s="105">
        <f t="shared" si="119"/>
        <v>0</v>
      </c>
      <c r="EN10" s="105">
        <f t="shared" si="119"/>
        <v>0</v>
      </c>
      <c r="EO10" s="105">
        <f t="shared" si="119"/>
        <v>0</v>
      </c>
      <c r="EP10" s="105">
        <f t="shared" si="120"/>
        <v>0</v>
      </c>
      <c r="EQ10" s="105">
        <f t="shared" si="120"/>
        <v>0</v>
      </c>
      <c r="ER10" s="105">
        <f t="shared" si="120"/>
        <v>0</v>
      </c>
      <c r="ES10" s="105">
        <f t="shared" si="120"/>
        <v>0</v>
      </c>
      <c r="ET10" s="105">
        <f t="shared" si="120"/>
        <v>0</v>
      </c>
      <c r="EU10" s="105">
        <f t="shared" si="120"/>
        <v>0</v>
      </c>
      <c r="EV10" s="105">
        <f t="shared" si="120"/>
        <v>0</v>
      </c>
      <c r="EW10" s="105">
        <f t="shared" si="120"/>
        <v>0</v>
      </c>
      <c r="EX10" s="105">
        <f t="shared" si="120"/>
        <v>0</v>
      </c>
      <c r="EY10" s="105">
        <f t="shared" si="120"/>
        <v>0</v>
      </c>
      <c r="EZ10" s="105">
        <f t="shared" si="120"/>
        <v>0</v>
      </c>
      <c r="FA10" s="105">
        <f t="shared" si="120"/>
        <v>0</v>
      </c>
      <c r="FB10" s="105">
        <f t="shared" si="120"/>
        <v>0</v>
      </c>
      <c r="FC10" s="105">
        <f t="shared" si="120"/>
        <v>0</v>
      </c>
      <c r="FD10" s="105">
        <f t="shared" si="120"/>
        <v>0</v>
      </c>
      <c r="FE10" s="105">
        <f t="shared" si="120"/>
        <v>0</v>
      </c>
      <c r="FF10" s="105">
        <f t="shared" si="121"/>
        <v>0</v>
      </c>
      <c r="FG10" s="105">
        <f t="shared" si="121"/>
        <v>0</v>
      </c>
      <c r="FH10" s="105">
        <f t="shared" si="121"/>
        <v>0</v>
      </c>
      <c r="FI10" s="105">
        <f t="shared" si="121"/>
        <v>0</v>
      </c>
      <c r="FJ10" s="105">
        <f t="shared" si="121"/>
        <v>0</v>
      </c>
      <c r="FK10" s="105">
        <f t="shared" si="121"/>
        <v>0</v>
      </c>
      <c r="FL10" s="105">
        <f t="shared" si="121"/>
        <v>0</v>
      </c>
      <c r="FM10" s="105">
        <f t="shared" si="121"/>
        <v>0</v>
      </c>
      <c r="FN10" s="105">
        <f t="shared" si="121"/>
        <v>0</v>
      </c>
      <c r="FO10" s="105">
        <f t="shared" si="121"/>
        <v>0</v>
      </c>
      <c r="FP10" s="105">
        <f t="shared" si="121"/>
        <v>0</v>
      </c>
      <c r="FQ10" s="105">
        <f t="shared" si="121"/>
        <v>0</v>
      </c>
      <c r="FR10" s="105">
        <f t="shared" si="121"/>
        <v>0</v>
      </c>
      <c r="FS10" s="105">
        <f t="shared" si="121"/>
        <v>0</v>
      </c>
      <c r="FT10" s="105">
        <f t="shared" si="121"/>
        <v>0</v>
      </c>
      <c r="FU10" s="105">
        <f t="shared" si="121"/>
        <v>0</v>
      </c>
      <c r="FV10" s="105">
        <f t="shared" si="122"/>
        <v>0</v>
      </c>
      <c r="FW10" s="105">
        <f t="shared" si="122"/>
        <v>0</v>
      </c>
      <c r="FX10" s="105">
        <f t="shared" si="122"/>
        <v>0</v>
      </c>
      <c r="FY10" s="105">
        <f t="shared" si="122"/>
        <v>0</v>
      </c>
      <c r="FZ10" s="105">
        <f t="shared" si="122"/>
        <v>0</v>
      </c>
      <c r="GA10" s="105">
        <f t="shared" si="122"/>
        <v>0</v>
      </c>
      <c r="GB10" s="105">
        <f t="shared" si="122"/>
        <v>0</v>
      </c>
      <c r="GC10" s="105">
        <f t="shared" si="122"/>
        <v>0</v>
      </c>
      <c r="GD10" s="105">
        <f t="shared" si="122"/>
        <v>0</v>
      </c>
      <c r="GE10" s="105">
        <f t="shared" si="122"/>
        <v>0</v>
      </c>
      <c r="GF10" s="105">
        <f t="shared" si="122"/>
        <v>0</v>
      </c>
      <c r="GG10" s="105">
        <f t="shared" si="122"/>
        <v>0</v>
      </c>
      <c r="GH10" s="105">
        <f t="shared" si="122"/>
        <v>0</v>
      </c>
      <c r="GI10" s="105">
        <f t="shared" si="122"/>
        <v>0</v>
      </c>
    </row>
    <row r="11" spans="1:191">
      <c r="B11" s="12">
        <v>10</v>
      </c>
      <c r="C11" s="12">
        <v>62</v>
      </c>
      <c r="D11" s="12" t="s">
        <v>481</v>
      </c>
      <c r="E11" s="326" t="s">
        <v>515</v>
      </c>
      <c r="F11" s="321">
        <v>500000</v>
      </c>
      <c r="G11" s="365">
        <f t="shared" si="123"/>
        <v>9090.9090909090901</v>
      </c>
      <c r="H11" s="326">
        <f>INDEX( 'Mortality Table'!$C$5:$I$127, MATCH($C11, 'Mortality Table'!$C$5:$C$127, 0), MATCH($D11,'Mortality Table'!$C$5:$I$5, 0) )</f>
        <v>19.03</v>
      </c>
      <c r="I11" s="12">
        <f t="shared" si="124"/>
        <v>2042</v>
      </c>
      <c r="J11" s="12">
        <f t="shared" si="125"/>
        <v>-500000</v>
      </c>
      <c r="K11" s="231"/>
      <c r="L11" s="105">
        <f t="shared" si="126"/>
        <v>0</v>
      </c>
      <c r="M11" s="105">
        <f t="shared" si="111"/>
        <v>0</v>
      </c>
      <c r="N11" s="105">
        <f t="shared" si="111"/>
        <v>0</v>
      </c>
      <c r="O11" s="105">
        <f t="shared" si="111"/>
        <v>0</v>
      </c>
      <c r="P11" s="105">
        <f t="shared" si="111"/>
        <v>0</v>
      </c>
      <c r="Q11" s="105">
        <f t="shared" si="111"/>
        <v>0</v>
      </c>
      <c r="R11" s="105">
        <f t="shared" si="111"/>
        <v>0</v>
      </c>
      <c r="S11" s="105">
        <f t="shared" si="111"/>
        <v>0</v>
      </c>
      <c r="T11" s="105">
        <f t="shared" si="111"/>
        <v>0</v>
      </c>
      <c r="U11" s="105">
        <f t="shared" si="111"/>
        <v>0</v>
      </c>
      <c r="V11" s="105">
        <f t="shared" si="111"/>
        <v>0</v>
      </c>
      <c r="W11" s="105">
        <f t="shared" si="111"/>
        <v>0</v>
      </c>
      <c r="X11" s="105">
        <f t="shared" si="111"/>
        <v>0</v>
      </c>
      <c r="Y11" s="105">
        <f t="shared" si="111"/>
        <v>0</v>
      </c>
      <c r="Z11" s="105">
        <f t="shared" si="111"/>
        <v>0</v>
      </c>
      <c r="AA11" s="105">
        <f t="shared" si="111"/>
        <v>0</v>
      </c>
      <c r="AB11" s="105">
        <f t="shared" si="111"/>
        <v>0</v>
      </c>
      <c r="AC11" s="105">
        <f t="shared" si="112"/>
        <v>0</v>
      </c>
      <c r="AD11" s="105">
        <f t="shared" si="112"/>
        <v>0</v>
      </c>
      <c r="AE11" s="105">
        <f t="shared" si="112"/>
        <v>-500000</v>
      </c>
      <c r="AF11" s="105">
        <f t="shared" si="112"/>
        <v>0</v>
      </c>
      <c r="AG11" s="105">
        <f t="shared" si="112"/>
        <v>0</v>
      </c>
      <c r="AH11" s="105">
        <f t="shared" si="112"/>
        <v>0</v>
      </c>
      <c r="AI11" s="105">
        <f t="shared" si="112"/>
        <v>0</v>
      </c>
      <c r="AJ11" s="105">
        <f t="shared" si="112"/>
        <v>0</v>
      </c>
      <c r="AK11" s="105">
        <f t="shared" si="112"/>
        <v>0</v>
      </c>
      <c r="AL11" s="105">
        <f t="shared" si="112"/>
        <v>0</v>
      </c>
      <c r="AM11" s="105">
        <f t="shared" si="112"/>
        <v>0</v>
      </c>
      <c r="AN11" s="105">
        <f t="shared" si="112"/>
        <v>0</v>
      </c>
      <c r="AO11" s="105">
        <f t="shared" si="112"/>
        <v>0</v>
      </c>
      <c r="AP11" s="105">
        <f t="shared" si="112"/>
        <v>0</v>
      </c>
      <c r="AQ11" s="105">
        <f t="shared" si="112"/>
        <v>0</v>
      </c>
      <c r="AR11" s="105">
        <f t="shared" si="112"/>
        <v>0</v>
      </c>
      <c r="AS11" s="105">
        <f t="shared" si="113"/>
        <v>0</v>
      </c>
      <c r="AT11" s="105">
        <f t="shared" si="113"/>
        <v>0</v>
      </c>
      <c r="AU11" s="105">
        <f t="shared" si="113"/>
        <v>0</v>
      </c>
      <c r="AV11" s="105">
        <f t="shared" si="113"/>
        <v>0</v>
      </c>
      <c r="AW11" s="105">
        <f t="shared" si="113"/>
        <v>0</v>
      </c>
      <c r="AX11" s="105">
        <f t="shared" si="113"/>
        <v>0</v>
      </c>
      <c r="AY11" s="105">
        <f t="shared" si="113"/>
        <v>0</v>
      </c>
      <c r="AZ11" s="105">
        <f t="shared" si="113"/>
        <v>0</v>
      </c>
      <c r="BA11" s="105">
        <f t="shared" si="113"/>
        <v>0</v>
      </c>
      <c r="BB11" s="105">
        <f t="shared" si="113"/>
        <v>0</v>
      </c>
      <c r="BC11" s="105">
        <f t="shared" si="113"/>
        <v>0</v>
      </c>
      <c r="BD11" s="105">
        <f t="shared" si="113"/>
        <v>0</v>
      </c>
      <c r="BE11" s="105">
        <f t="shared" si="113"/>
        <v>0</v>
      </c>
      <c r="BF11" s="105">
        <f t="shared" si="113"/>
        <v>0</v>
      </c>
      <c r="BG11" s="105">
        <f t="shared" si="113"/>
        <v>0</v>
      </c>
      <c r="BH11" s="105">
        <f t="shared" si="113"/>
        <v>0</v>
      </c>
      <c r="BI11" s="105">
        <f t="shared" si="114"/>
        <v>0</v>
      </c>
      <c r="BJ11" s="105">
        <f t="shared" si="114"/>
        <v>0</v>
      </c>
      <c r="BK11" s="105">
        <f t="shared" si="114"/>
        <v>0</v>
      </c>
      <c r="BL11" s="105">
        <f t="shared" si="114"/>
        <v>0</v>
      </c>
      <c r="BM11" s="105">
        <f t="shared" si="114"/>
        <v>0</v>
      </c>
      <c r="BN11" s="105">
        <f t="shared" si="114"/>
        <v>0</v>
      </c>
      <c r="BO11" s="105">
        <f t="shared" si="114"/>
        <v>0</v>
      </c>
      <c r="BP11" s="105">
        <f t="shared" si="114"/>
        <v>0</v>
      </c>
      <c r="BQ11" s="105">
        <f t="shared" si="114"/>
        <v>0</v>
      </c>
      <c r="BR11" s="105">
        <f t="shared" si="114"/>
        <v>0</v>
      </c>
      <c r="BS11" s="105">
        <f t="shared" si="114"/>
        <v>0</v>
      </c>
      <c r="BT11" s="105">
        <f t="shared" si="114"/>
        <v>0</v>
      </c>
      <c r="BU11" s="105">
        <f t="shared" si="114"/>
        <v>0</v>
      </c>
      <c r="BV11" s="105">
        <f t="shared" si="114"/>
        <v>0</v>
      </c>
      <c r="BW11" s="105">
        <f t="shared" si="114"/>
        <v>0</v>
      </c>
      <c r="BX11" s="105">
        <f t="shared" si="114"/>
        <v>0</v>
      </c>
      <c r="BY11" s="105">
        <f t="shared" si="115"/>
        <v>0</v>
      </c>
      <c r="BZ11" s="105">
        <f t="shared" si="115"/>
        <v>0</v>
      </c>
      <c r="CA11" s="105">
        <f t="shared" si="115"/>
        <v>0</v>
      </c>
      <c r="CC11" s="105">
        <f t="shared" si="127"/>
        <v>9090.9090909090901</v>
      </c>
      <c r="CD11" s="105">
        <f t="shared" si="116"/>
        <v>9090.9090909090901</v>
      </c>
      <c r="CE11" s="105">
        <f t="shared" si="116"/>
        <v>9090.9090909090901</v>
      </c>
      <c r="CF11" s="105">
        <f t="shared" si="116"/>
        <v>9090.9090909090901</v>
      </c>
      <c r="CG11" s="105">
        <f t="shared" si="116"/>
        <v>9090.9090909090901</v>
      </c>
      <c r="CH11" s="105">
        <f t="shared" si="116"/>
        <v>9090.9090909090901</v>
      </c>
      <c r="CI11" s="105">
        <f t="shared" si="116"/>
        <v>9090.9090909090901</v>
      </c>
      <c r="CJ11" s="105">
        <f t="shared" si="116"/>
        <v>9090.9090909090901</v>
      </c>
      <c r="CK11" s="105">
        <f t="shared" si="116"/>
        <v>9090.9090909090901</v>
      </c>
      <c r="CL11" s="105">
        <f t="shared" si="116"/>
        <v>9090.9090909090901</v>
      </c>
      <c r="CM11" s="105">
        <f t="shared" si="116"/>
        <v>9090.9090909090901</v>
      </c>
      <c r="CN11" s="105">
        <f t="shared" si="116"/>
        <v>9090.9090909090901</v>
      </c>
      <c r="CO11" s="105">
        <f t="shared" si="116"/>
        <v>9090.9090909090901</v>
      </c>
      <c r="CP11" s="105">
        <f t="shared" si="116"/>
        <v>9090.9090909090901</v>
      </c>
      <c r="CQ11" s="105">
        <f t="shared" si="116"/>
        <v>9090.9090909090901</v>
      </c>
      <c r="CR11" s="105">
        <f t="shared" si="116"/>
        <v>9090.9090909090901</v>
      </c>
      <c r="CS11" s="105">
        <f t="shared" si="116"/>
        <v>9090.9090909090901</v>
      </c>
      <c r="CT11" s="105">
        <f t="shared" si="117"/>
        <v>9090.9090909090901</v>
      </c>
      <c r="CU11" s="105">
        <f t="shared" si="117"/>
        <v>9090.9090909090901</v>
      </c>
      <c r="CV11" s="105">
        <f t="shared" si="117"/>
        <v>0</v>
      </c>
      <c r="CW11" s="105">
        <f t="shared" si="117"/>
        <v>0</v>
      </c>
      <c r="CX11" s="105">
        <f t="shared" si="117"/>
        <v>0</v>
      </c>
      <c r="CY11" s="105">
        <f t="shared" si="117"/>
        <v>0</v>
      </c>
      <c r="CZ11" s="105">
        <f t="shared" si="117"/>
        <v>0</v>
      </c>
      <c r="DA11" s="105">
        <f t="shared" si="117"/>
        <v>0</v>
      </c>
      <c r="DB11" s="105">
        <f t="shared" si="117"/>
        <v>0</v>
      </c>
      <c r="DC11" s="105">
        <f t="shared" si="117"/>
        <v>0</v>
      </c>
      <c r="DD11" s="105">
        <f t="shared" si="117"/>
        <v>0</v>
      </c>
      <c r="DE11" s="105">
        <f t="shared" si="117"/>
        <v>0</v>
      </c>
      <c r="DF11" s="105">
        <f t="shared" si="117"/>
        <v>0</v>
      </c>
      <c r="DG11" s="105">
        <f t="shared" si="117"/>
        <v>0</v>
      </c>
      <c r="DH11" s="105">
        <f t="shared" si="117"/>
        <v>0</v>
      </c>
      <c r="DI11" s="105">
        <f t="shared" si="117"/>
        <v>0</v>
      </c>
      <c r="DJ11" s="105">
        <f t="shared" si="118"/>
        <v>0</v>
      </c>
      <c r="DK11" s="105">
        <f t="shared" si="118"/>
        <v>0</v>
      </c>
      <c r="DL11" s="105">
        <f t="shared" si="118"/>
        <v>0</v>
      </c>
      <c r="DM11" s="105">
        <f t="shared" si="118"/>
        <v>0</v>
      </c>
      <c r="DN11" s="105">
        <f t="shared" si="118"/>
        <v>0</v>
      </c>
      <c r="DO11" s="105">
        <f t="shared" si="118"/>
        <v>0</v>
      </c>
      <c r="DP11" s="105">
        <f t="shared" si="118"/>
        <v>0</v>
      </c>
      <c r="DQ11" s="105">
        <f t="shared" si="118"/>
        <v>0</v>
      </c>
      <c r="DR11" s="105">
        <f t="shared" si="118"/>
        <v>0</v>
      </c>
      <c r="DS11" s="105">
        <f t="shared" si="118"/>
        <v>0</v>
      </c>
      <c r="DT11" s="105">
        <f t="shared" si="118"/>
        <v>0</v>
      </c>
      <c r="DU11" s="105">
        <f t="shared" si="118"/>
        <v>0</v>
      </c>
      <c r="DV11" s="105">
        <f t="shared" si="118"/>
        <v>0</v>
      </c>
      <c r="DW11" s="105">
        <f t="shared" si="118"/>
        <v>0</v>
      </c>
      <c r="DX11" s="105">
        <f t="shared" si="118"/>
        <v>0</v>
      </c>
      <c r="DY11" s="105">
        <f t="shared" si="118"/>
        <v>0</v>
      </c>
      <c r="DZ11" s="105">
        <f t="shared" si="119"/>
        <v>0</v>
      </c>
      <c r="EA11" s="105">
        <f t="shared" si="119"/>
        <v>0</v>
      </c>
      <c r="EB11" s="105">
        <f t="shared" si="119"/>
        <v>0</v>
      </c>
      <c r="EC11" s="105">
        <f t="shared" si="119"/>
        <v>0</v>
      </c>
      <c r="ED11" s="105">
        <f t="shared" si="119"/>
        <v>0</v>
      </c>
      <c r="EE11" s="105">
        <f t="shared" si="119"/>
        <v>0</v>
      </c>
      <c r="EF11" s="105">
        <f t="shared" si="119"/>
        <v>0</v>
      </c>
      <c r="EG11" s="105">
        <f t="shared" si="119"/>
        <v>0</v>
      </c>
      <c r="EH11" s="105">
        <f t="shared" si="119"/>
        <v>0</v>
      </c>
      <c r="EI11" s="105">
        <f t="shared" si="119"/>
        <v>0</v>
      </c>
      <c r="EJ11" s="105">
        <f t="shared" si="119"/>
        <v>0</v>
      </c>
      <c r="EK11" s="105">
        <f t="shared" si="119"/>
        <v>0</v>
      </c>
      <c r="EL11" s="105">
        <f t="shared" si="119"/>
        <v>0</v>
      </c>
      <c r="EM11" s="105">
        <f t="shared" si="119"/>
        <v>0</v>
      </c>
      <c r="EN11" s="105">
        <f t="shared" si="119"/>
        <v>0</v>
      </c>
      <c r="EO11" s="105">
        <f t="shared" si="119"/>
        <v>0</v>
      </c>
      <c r="EP11" s="105">
        <f t="shared" si="120"/>
        <v>0</v>
      </c>
      <c r="EQ11" s="105">
        <f t="shared" si="120"/>
        <v>0</v>
      </c>
      <c r="ER11" s="105">
        <f t="shared" si="120"/>
        <v>0</v>
      </c>
      <c r="ES11" s="105">
        <f t="shared" si="120"/>
        <v>0</v>
      </c>
      <c r="ET11" s="105">
        <f t="shared" si="120"/>
        <v>0</v>
      </c>
      <c r="EU11" s="105">
        <f t="shared" si="120"/>
        <v>0</v>
      </c>
      <c r="EV11" s="105">
        <f t="shared" si="120"/>
        <v>0</v>
      </c>
      <c r="EW11" s="105">
        <f t="shared" si="120"/>
        <v>0</v>
      </c>
      <c r="EX11" s="105">
        <f t="shared" si="120"/>
        <v>0</v>
      </c>
      <c r="EY11" s="105">
        <f t="shared" si="120"/>
        <v>0</v>
      </c>
      <c r="EZ11" s="105">
        <f t="shared" si="120"/>
        <v>0</v>
      </c>
      <c r="FA11" s="105">
        <f t="shared" si="120"/>
        <v>0</v>
      </c>
      <c r="FB11" s="105">
        <f t="shared" si="120"/>
        <v>0</v>
      </c>
      <c r="FC11" s="105">
        <f t="shared" si="120"/>
        <v>0</v>
      </c>
      <c r="FD11" s="105">
        <f t="shared" si="120"/>
        <v>0</v>
      </c>
      <c r="FE11" s="105">
        <f t="shared" si="120"/>
        <v>0</v>
      </c>
      <c r="FF11" s="105">
        <f t="shared" si="121"/>
        <v>0</v>
      </c>
      <c r="FG11" s="105">
        <f t="shared" si="121"/>
        <v>0</v>
      </c>
      <c r="FH11" s="105">
        <f t="shared" si="121"/>
        <v>0</v>
      </c>
      <c r="FI11" s="105">
        <f t="shared" si="121"/>
        <v>0</v>
      </c>
      <c r="FJ11" s="105">
        <f t="shared" si="121"/>
        <v>0</v>
      </c>
      <c r="FK11" s="105">
        <f t="shared" si="121"/>
        <v>0</v>
      </c>
      <c r="FL11" s="105">
        <f t="shared" si="121"/>
        <v>0</v>
      </c>
      <c r="FM11" s="105">
        <f t="shared" si="121"/>
        <v>0</v>
      </c>
      <c r="FN11" s="105">
        <f t="shared" si="121"/>
        <v>0</v>
      </c>
      <c r="FO11" s="105">
        <f t="shared" si="121"/>
        <v>0</v>
      </c>
      <c r="FP11" s="105">
        <f t="shared" si="121"/>
        <v>0</v>
      </c>
      <c r="FQ11" s="105">
        <f t="shared" si="121"/>
        <v>0</v>
      </c>
      <c r="FR11" s="105">
        <f t="shared" si="121"/>
        <v>0</v>
      </c>
      <c r="FS11" s="105">
        <f t="shared" si="121"/>
        <v>0</v>
      </c>
      <c r="FT11" s="105">
        <f t="shared" si="121"/>
        <v>0</v>
      </c>
      <c r="FU11" s="105">
        <f t="shared" si="121"/>
        <v>0</v>
      </c>
      <c r="FV11" s="105">
        <f t="shared" si="122"/>
        <v>0</v>
      </c>
      <c r="FW11" s="105">
        <f t="shared" si="122"/>
        <v>0</v>
      </c>
      <c r="FX11" s="105">
        <f t="shared" si="122"/>
        <v>0</v>
      </c>
      <c r="FY11" s="105">
        <f t="shared" si="122"/>
        <v>0</v>
      </c>
      <c r="FZ11" s="105">
        <f t="shared" si="122"/>
        <v>0</v>
      </c>
      <c r="GA11" s="105">
        <f t="shared" si="122"/>
        <v>0</v>
      </c>
      <c r="GB11" s="105">
        <f t="shared" si="122"/>
        <v>0</v>
      </c>
      <c r="GC11" s="105">
        <f t="shared" si="122"/>
        <v>0</v>
      </c>
      <c r="GD11" s="105">
        <f t="shared" si="122"/>
        <v>0</v>
      </c>
      <c r="GE11" s="105">
        <f t="shared" si="122"/>
        <v>0</v>
      </c>
      <c r="GF11" s="105">
        <f t="shared" si="122"/>
        <v>0</v>
      </c>
      <c r="GG11" s="105">
        <f t="shared" si="122"/>
        <v>0</v>
      </c>
      <c r="GH11" s="105">
        <f t="shared" si="122"/>
        <v>0</v>
      </c>
      <c r="GI11" s="105">
        <f t="shared" si="122"/>
        <v>0</v>
      </c>
    </row>
    <row r="12" spans="1:191">
      <c r="B12" s="12">
        <v>9</v>
      </c>
      <c r="C12" s="12">
        <v>63</v>
      </c>
      <c r="D12" s="12" t="s">
        <v>481</v>
      </c>
      <c r="E12" s="326" t="s">
        <v>515</v>
      </c>
      <c r="F12" s="321">
        <v>100000</v>
      </c>
      <c r="G12" s="365">
        <f t="shared" si="123"/>
        <v>1818.1818181818182</v>
      </c>
      <c r="H12" s="326">
        <f>INDEX( 'Mortality Table'!$C$5:$I$127, MATCH($C12, 'Mortality Table'!$C$5:$C$127, 0), MATCH($D12,'Mortality Table'!$C$5:$I$5, 0) )</f>
        <v>18.32</v>
      </c>
      <c r="I12" s="12">
        <f t="shared" si="124"/>
        <v>2041</v>
      </c>
      <c r="J12" s="12">
        <f t="shared" si="125"/>
        <v>-100000</v>
      </c>
      <c r="K12" s="231"/>
      <c r="L12" s="105">
        <f t="shared" si="126"/>
        <v>0</v>
      </c>
      <c r="M12" s="105">
        <f t="shared" si="111"/>
        <v>0</v>
      </c>
      <c r="N12" s="105">
        <f t="shared" si="111"/>
        <v>0</v>
      </c>
      <c r="O12" s="105">
        <f t="shared" si="111"/>
        <v>0</v>
      </c>
      <c r="P12" s="105">
        <f t="shared" si="111"/>
        <v>0</v>
      </c>
      <c r="Q12" s="105">
        <f t="shared" si="111"/>
        <v>0</v>
      </c>
      <c r="R12" s="105">
        <f t="shared" si="111"/>
        <v>0</v>
      </c>
      <c r="S12" s="105">
        <f t="shared" si="111"/>
        <v>0</v>
      </c>
      <c r="T12" s="105">
        <f t="shared" si="111"/>
        <v>0</v>
      </c>
      <c r="U12" s="105">
        <f t="shared" si="111"/>
        <v>0</v>
      </c>
      <c r="V12" s="105">
        <f t="shared" si="111"/>
        <v>0</v>
      </c>
      <c r="W12" s="105">
        <f t="shared" si="111"/>
        <v>0</v>
      </c>
      <c r="X12" s="105">
        <f t="shared" si="111"/>
        <v>0</v>
      </c>
      <c r="Y12" s="105">
        <f t="shared" si="111"/>
        <v>0</v>
      </c>
      <c r="Z12" s="105">
        <f t="shared" si="111"/>
        <v>0</v>
      </c>
      <c r="AA12" s="105">
        <f t="shared" si="111"/>
        <v>0</v>
      </c>
      <c r="AB12" s="105">
        <f t="shared" si="111"/>
        <v>0</v>
      </c>
      <c r="AC12" s="105">
        <f t="shared" si="112"/>
        <v>0</v>
      </c>
      <c r="AD12" s="105">
        <f t="shared" si="112"/>
        <v>-100000</v>
      </c>
      <c r="AE12" s="105">
        <f t="shared" si="112"/>
        <v>0</v>
      </c>
      <c r="AF12" s="105">
        <f t="shared" si="112"/>
        <v>0</v>
      </c>
      <c r="AG12" s="105">
        <f t="shared" si="112"/>
        <v>0</v>
      </c>
      <c r="AH12" s="105">
        <f t="shared" si="112"/>
        <v>0</v>
      </c>
      <c r="AI12" s="105">
        <f t="shared" si="112"/>
        <v>0</v>
      </c>
      <c r="AJ12" s="105">
        <f t="shared" si="112"/>
        <v>0</v>
      </c>
      <c r="AK12" s="105">
        <f t="shared" si="112"/>
        <v>0</v>
      </c>
      <c r="AL12" s="105">
        <f t="shared" si="112"/>
        <v>0</v>
      </c>
      <c r="AM12" s="105">
        <f t="shared" si="112"/>
        <v>0</v>
      </c>
      <c r="AN12" s="105">
        <f t="shared" si="112"/>
        <v>0</v>
      </c>
      <c r="AO12" s="105">
        <f t="shared" si="112"/>
        <v>0</v>
      </c>
      <c r="AP12" s="105">
        <f t="shared" si="112"/>
        <v>0</v>
      </c>
      <c r="AQ12" s="105">
        <f t="shared" si="112"/>
        <v>0</v>
      </c>
      <c r="AR12" s="105">
        <f t="shared" si="112"/>
        <v>0</v>
      </c>
      <c r="AS12" s="105">
        <f t="shared" si="113"/>
        <v>0</v>
      </c>
      <c r="AT12" s="105">
        <f t="shared" si="113"/>
        <v>0</v>
      </c>
      <c r="AU12" s="105">
        <f t="shared" si="113"/>
        <v>0</v>
      </c>
      <c r="AV12" s="105">
        <f t="shared" si="113"/>
        <v>0</v>
      </c>
      <c r="AW12" s="105">
        <f t="shared" si="113"/>
        <v>0</v>
      </c>
      <c r="AX12" s="105">
        <f t="shared" si="113"/>
        <v>0</v>
      </c>
      <c r="AY12" s="105">
        <f t="shared" si="113"/>
        <v>0</v>
      </c>
      <c r="AZ12" s="105">
        <f t="shared" si="113"/>
        <v>0</v>
      </c>
      <c r="BA12" s="105">
        <f t="shared" si="113"/>
        <v>0</v>
      </c>
      <c r="BB12" s="105">
        <f t="shared" si="113"/>
        <v>0</v>
      </c>
      <c r="BC12" s="105">
        <f t="shared" si="113"/>
        <v>0</v>
      </c>
      <c r="BD12" s="105">
        <f t="shared" si="113"/>
        <v>0</v>
      </c>
      <c r="BE12" s="105">
        <f t="shared" si="113"/>
        <v>0</v>
      </c>
      <c r="BF12" s="105">
        <f t="shared" si="113"/>
        <v>0</v>
      </c>
      <c r="BG12" s="105">
        <f t="shared" si="113"/>
        <v>0</v>
      </c>
      <c r="BH12" s="105">
        <f t="shared" si="113"/>
        <v>0</v>
      </c>
      <c r="BI12" s="105">
        <f t="shared" si="114"/>
        <v>0</v>
      </c>
      <c r="BJ12" s="105">
        <f t="shared" si="114"/>
        <v>0</v>
      </c>
      <c r="BK12" s="105">
        <f t="shared" si="114"/>
        <v>0</v>
      </c>
      <c r="BL12" s="105">
        <f t="shared" si="114"/>
        <v>0</v>
      </c>
      <c r="BM12" s="105">
        <f t="shared" si="114"/>
        <v>0</v>
      </c>
      <c r="BN12" s="105">
        <f t="shared" si="114"/>
        <v>0</v>
      </c>
      <c r="BO12" s="105">
        <f t="shared" si="114"/>
        <v>0</v>
      </c>
      <c r="BP12" s="105">
        <f t="shared" si="114"/>
        <v>0</v>
      </c>
      <c r="BQ12" s="105">
        <f t="shared" si="114"/>
        <v>0</v>
      </c>
      <c r="BR12" s="105">
        <f t="shared" si="114"/>
        <v>0</v>
      </c>
      <c r="BS12" s="105">
        <f t="shared" si="114"/>
        <v>0</v>
      </c>
      <c r="BT12" s="105">
        <f t="shared" si="114"/>
        <v>0</v>
      </c>
      <c r="BU12" s="105">
        <f t="shared" si="114"/>
        <v>0</v>
      </c>
      <c r="BV12" s="105">
        <f t="shared" si="114"/>
        <v>0</v>
      </c>
      <c r="BW12" s="105">
        <f t="shared" si="114"/>
        <v>0</v>
      </c>
      <c r="BX12" s="105">
        <f t="shared" si="114"/>
        <v>0</v>
      </c>
      <c r="BY12" s="105">
        <f t="shared" si="115"/>
        <v>0</v>
      </c>
      <c r="BZ12" s="105">
        <f t="shared" si="115"/>
        <v>0</v>
      </c>
      <c r="CA12" s="105">
        <f t="shared" si="115"/>
        <v>0</v>
      </c>
      <c r="CC12" s="105">
        <f t="shared" si="127"/>
        <v>1818.1818181818182</v>
      </c>
      <c r="CD12" s="105">
        <f t="shared" si="116"/>
        <v>1818.1818181818182</v>
      </c>
      <c r="CE12" s="105">
        <f t="shared" si="116"/>
        <v>1818.1818181818182</v>
      </c>
      <c r="CF12" s="105">
        <f t="shared" si="116"/>
        <v>1818.1818181818182</v>
      </c>
      <c r="CG12" s="105">
        <f t="shared" si="116"/>
        <v>1818.1818181818182</v>
      </c>
      <c r="CH12" s="105">
        <f t="shared" si="116"/>
        <v>1818.1818181818182</v>
      </c>
      <c r="CI12" s="105">
        <f t="shared" si="116"/>
        <v>1818.1818181818182</v>
      </c>
      <c r="CJ12" s="105">
        <f t="shared" si="116"/>
        <v>1818.1818181818182</v>
      </c>
      <c r="CK12" s="105">
        <f t="shared" si="116"/>
        <v>1818.1818181818182</v>
      </c>
      <c r="CL12" s="105">
        <f t="shared" si="116"/>
        <v>1818.1818181818182</v>
      </c>
      <c r="CM12" s="105">
        <f t="shared" si="116"/>
        <v>1818.1818181818182</v>
      </c>
      <c r="CN12" s="105">
        <f t="shared" si="116"/>
        <v>1818.1818181818182</v>
      </c>
      <c r="CO12" s="105">
        <f t="shared" si="116"/>
        <v>1818.1818181818182</v>
      </c>
      <c r="CP12" s="105">
        <f t="shared" si="116"/>
        <v>1818.1818181818182</v>
      </c>
      <c r="CQ12" s="105">
        <f t="shared" si="116"/>
        <v>1818.1818181818182</v>
      </c>
      <c r="CR12" s="105">
        <f t="shared" si="116"/>
        <v>1818.1818181818182</v>
      </c>
      <c r="CS12" s="105">
        <f t="shared" si="116"/>
        <v>1818.1818181818182</v>
      </c>
      <c r="CT12" s="105">
        <f t="shared" si="117"/>
        <v>1818.1818181818182</v>
      </c>
      <c r="CU12" s="105">
        <f t="shared" si="117"/>
        <v>0</v>
      </c>
      <c r="CV12" s="105">
        <f t="shared" si="117"/>
        <v>0</v>
      </c>
      <c r="CW12" s="105">
        <f t="shared" si="117"/>
        <v>0</v>
      </c>
      <c r="CX12" s="105">
        <f t="shared" si="117"/>
        <v>0</v>
      </c>
      <c r="CY12" s="105">
        <f t="shared" si="117"/>
        <v>0</v>
      </c>
      <c r="CZ12" s="105">
        <f t="shared" si="117"/>
        <v>0</v>
      </c>
      <c r="DA12" s="105">
        <f t="shared" si="117"/>
        <v>0</v>
      </c>
      <c r="DB12" s="105">
        <f t="shared" si="117"/>
        <v>0</v>
      </c>
      <c r="DC12" s="105">
        <f t="shared" si="117"/>
        <v>0</v>
      </c>
      <c r="DD12" s="105">
        <f t="shared" si="117"/>
        <v>0</v>
      </c>
      <c r="DE12" s="105">
        <f t="shared" si="117"/>
        <v>0</v>
      </c>
      <c r="DF12" s="105">
        <f t="shared" si="117"/>
        <v>0</v>
      </c>
      <c r="DG12" s="105">
        <f t="shared" si="117"/>
        <v>0</v>
      </c>
      <c r="DH12" s="105">
        <f t="shared" si="117"/>
        <v>0</v>
      </c>
      <c r="DI12" s="105">
        <f t="shared" si="117"/>
        <v>0</v>
      </c>
      <c r="DJ12" s="105">
        <f t="shared" si="118"/>
        <v>0</v>
      </c>
      <c r="DK12" s="105">
        <f t="shared" si="118"/>
        <v>0</v>
      </c>
      <c r="DL12" s="105">
        <f t="shared" si="118"/>
        <v>0</v>
      </c>
      <c r="DM12" s="105">
        <f t="shared" si="118"/>
        <v>0</v>
      </c>
      <c r="DN12" s="105">
        <f t="shared" si="118"/>
        <v>0</v>
      </c>
      <c r="DO12" s="105">
        <f t="shared" si="118"/>
        <v>0</v>
      </c>
      <c r="DP12" s="105">
        <f t="shared" si="118"/>
        <v>0</v>
      </c>
      <c r="DQ12" s="105">
        <f t="shared" si="118"/>
        <v>0</v>
      </c>
      <c r="DR12" s="105">
        <f t="shared" si="118"/>
        <v>0</v>
      </c>
      <c r="DS12" s="105">
        <f t="shared" si="118"/>
        <v>0</v>
      </c>
      <c r="DT12" s="105">
        <f t="shared" si="118"/>
        <v>0</v>
      </c>
      <c r="DU12" s="105">
        <f t="shared" si="118"/>
        <v>0</v>
      </c>
      <c r="DV12" s="105">
        <f t="shared" si="118"/>
        <v>0</v>
      </c>
      <c r="DW12" s="105">
        <f t="shared" si="118"/>
        <v>0</v>
      </c>
      <c r="DX12" s="105">
        <f t="shared" si="118"/>
        <v>0</v>
      </c>
      <c r="DY12" s="105">
        <f t="shared" si="118"/>
        <v>0</v>
      </c>
      <c r="DZ12" s="105">
        <f t="shared" si="119"/>
        <v>0</v>
      </c>
      <c r="EA12" s="105">
        <f t="shared" si="119"/>
        <v>0</v>
      </c>
      <c r="EB12" s="105">
        <f t="shared" si="119"/>
        <v>0</v>
      </c>
      <c r="EC12" s="105">
        <f t="shared" si="119"/>
        <v>0</v>
      </c>
      <c r="ED12" s="105">
        <f t="shared" si="119"/>
        <v>0</v>
      </c>
      <c r="EE12" s="105">
        <f t="shared" si="119"/>
        <v>0</v>
      </c>
      <c r="EF12" s="105">
        <f t="shared" si="119"/>
        <v>0</v>
      </c>
      <c r="EG12" s="105">
        <f t="shared" si="119"/>
        <v>0</v>
      </c>
      <c r="EH12" s="105">
        <f t="shared" si="119"/>
        <v>0</v>
      </c>
      <c r="EI12" s="105">
        <f t="shared" si="119"/>
        <v>0</v>
      </c>
      <c r="EJ12" s="105">
        <f t="shared" si="119"/>
        <v>0</v>
      </c>
      <c r="EK12" s="105">
        <f t="shared" si="119"/>
        <v>0</v>
      </c>
      <c r="EL12" s="105">
        <f t="shared" si="119"/>
        <v>0</v>
      </c>
      <c r="EM12" s="105">
        <f t="shared" si="119"/>
        <v>0</v>
      </c>
      <c r="EN12" s="105">
        <f t="shared" si="119"/>
        <v>0</v>
      </c>
      <c r="EO12" s="105">
        <f t="shared" si="119"/>
        <v>0</v>
      </c>
      <c r="EP12" s="105">
        <f t="shared" si="120"/>
        <v>0</v>
      </c>
      <c r="EQ12" s="105">
        <f t="shared" si="120"/>
        <v>0</v>
      </c>
      <c r="ER12" s="105">
        <f t="shared" si="120"/>
        <v>0</v>
      </c>
      <c r="ES12" s="105">
        <f t="shared" si="120"/>
        <v>0</v>
      </c>
      <c r="ET12" s="105">
        <f t="shared" si="120"/>
        <v>0</v>
      </c>
      <c r="EU12" s="105">
        <f t="shared" si="120"/>
        <v>0</v>
      </c>
      <c r="EV12" s="105">
        <f t="shared" si="120"/>
        <v>0</v>
      </c>
      <c r="EW12" s="105">
        <f t="shared" si="120"/>
        <v>0</v>
      </c>
      <c r="EX12" s="105">
        <f t="shared" si="120"/>
        <v>0</v>
      </c>
      <c r="EY12" s="105">
        <f t="shared" si="120"/>
        <v>0</v>
      </c>
      <c r="EZ12" s="105">
        <f t="shared" si="120"/>
        <v>0</v>
      </c>
      <c r="FA12" s="105">
        <f t="shared" si="120"/>
        <v>0</v>
      </c>
      <c r="FB12" s="105">
        <f t="shared" si="120"/>
        <v>0</v>
      </c>
      <c r="FC12" s="105">
        <f t="shared" si="120"/>
        <v>0</v>
      </c>
      <c r="FD12" s="105">
        <f t="shared" si="120"/>
        <v>0</v>
      </c>
      <c r="FE12" s="105">
        <f t="shared" si="120"/>
        <v>0</v>
      </c>
      <c r="FF12" s="105">
        <f t="shared" si="121"/>
        <v>0</v>
      </c>
      <c r="FG12" s="105">
        <f t="shared" si="121"/>
        <v>0</v>
      </c>
      <c r="FH12" s="105">
        <f t="shared" si="121"/>
        <v>0</v>
      </c>
      <c r="FI12" s="105">
        <f t="shared" si="121"/>
        <v>0</v>
      </c>
      <c r="FJ12" s="105">
        <f t="shared" si="121"/>
        <v>0</v>
      </c>
      <c r="FK12" s="105">
        <f t="shared" si="121"/>
        <v>0</v>
      </c>
      <c r="FL12" s="105">
        <f t="shared" si="121"/>
        <v>0</v>
      </c>
      <c r="FM12" s="105">
        <f t="shared" si="121"/>
        <v>0</v>
      </c>
      <c r="FN12" s="105">
        <f t="shared" si="121"/>
        <v>0</v>
      </c>
      <c r="FO12" s="105">
        <f t="shared" si="121"/>
        <v>0</v>
      </c>
      <c r="FP12" s="105">
        <f t="shared" si="121"/>
        <v>0</v>
      </c>
      <c r="FQ12" s="105">
        <f t="shared" si="121"/>
        <v>0</v>
      </c>
      <c r="FR12" s="105">
        <f t="shared" si="121"/>
        <v>0</v>
      </c>
      <c r="FS12" s="105">
        <f t="shared" si="121"/>
        <v>0</v>
      </c>
      <c r="FT12" s="105">
        <f t="shared" si="121"/>
        <v>0</v>
      </c>
      <c r="FU12" s="105">
        <f t="shared" si="121"/>
        <v>0</v>
      </c>
      <c r="FV12" s="105">
        <f t="shared" si="122"/>
        <v>0</v>
      </c>
      <c r="FW12" s="105">
        <f t="shared" si="122"/>
        <v>0</v>
      </c>
      <c r="FX12" s="105">
        <f t="shared" si="122"/>
        <v>0</v>
      </c>
      <c r="FY12" s="105">
        <f t="shared" si="122"/>
        <v>0</v>
      </c>
      <c r="FZ12" s="105">
        <f t="shared" si="122"/>
        <v>0</v>
      </c>
      <c r="GA12" s="105">
        <f t="shared" si="122"/>
        <v>0</v>
      </c>
      <c r="GB12" s="105">
        <f t="shared" si="122"/>
        <v>0</v>
      </c>
      <c r="GC12" s="105">
        <f t="shared" si="122"/>
        <v>0</v>
      </c>
      <c r="GD12" s="105">
        <f t="shared" si="122"/>
        <v>0</v>
      </c>
      <c r="GE12" s="105">
        <f t="shared" si="122"/>
        <v>0</v>
      </c>
      <c r="GF12" s="105">
        <f t="shared" si="122"/>
        <v>0</v>
      </c>
      <c r="GG12" s="105">
        <f t="shared" si="122"/>
        <v>0</v>
      </c>
      <c r="GH12" s="105">
        <f t="shared" si="122"/>
        <v>0</v>
      </c>
      <c r="GI12" s="105">
        <f t="shared" si="122"/>
        <v>0</v>
      </c>
    </row>
    <row r="13" spans="1:191">
      <c r="B13" s="12">
        <v>1</v>
      </c>
      <c r="C13" s="12">
        <v>65</v>
      </c>
      <c r="D13" s="12" t="s">
        <v>481</v>
      </c>
      <c r="E13" s="326" t="s">
        <v>515</v>
      </c>
      <c r="F13" s="321">
        <v>100000</v>
      </c>
      <c r="G13" s="365">
        <f t="shared" si="123"/>
        <v>1818.1818181818182</v>
      </c>
      <c r="H13" s="326">
        <f>INDEX( 'Mortality Table'!$C$5:$I$127, MATCH($C13, 'Mortality Table'!$C$5:$C$127, 0), MATCH($D13,'Mortality Table'!$C$5:$I$5, 0) )</f>
        <v>16.940000000000001</v>
      </c>
      <c r="I13" s="12">
        <f t="shared" si="124"/>
        <v>2040</v>
      </c>
      <c r="J13" s="12">
        <f t="shared" si="125"/>
        <v>-100000</v>
      </c>
      <c r="K13" s="231"/>
      <c r="L13" s="105">
        <f t="shared" si="126"/>
        <v>0</v>
      </c>
      <c r="M13" s="105">
        <f t="shared" si="111"/>
        <v>0</v>
      </c>
      <c r="N13" s="105">
        <f t="shared" si="111"/>
        <v>0</v>
      </c>
      <c r="O13" s="105">
        <f t="shared" si="111"/>
        <v>0</v>
      </c>
      <c r="P13" s="105">
        <f t="shared" si="111"/>
        <v>0</v>
      </c>
      <c r="Q13" s="105">
        <f t="shared" si="111"/>
        <v>0</v>
      </c>
      <c r="R13" s="105">
        <f t="shared" si="111"/>
        <v>0</v>
      </c>
      <c r="S13" s="105">
        <f t="shared" si="111"/>
        <v>0</v>
      </c>
      <c r="T13" s="105">
        <f t="shared" si="111"/>
        <v>0</v>
      </c>
      <c r="U13" s="105">
        <f t="shared" si="111"/>
        <v>0</v>
      </c>
      <c r="V13" s="105">
        <f t="shared" si="111"/>
        <v>0</v>
      </c>
      <c r="W13" s="105">
        <f t="shared" si="111"/>
        <v>0</v>
      </c>
      <c r="X13" s="105">
        <f t="shared" si="111"/>
        <v>0</v>
      </c>
      <c r="Y13" s="105">
        <f t="shared" si="111"/>
        <v>0</v>
      </c>
      <c r="Z13" s="105">
        <f t="shared" si="111"/>
        <v>0</v>
      </c>
      <c r="AA13" s="105">
        <f t="shared" si="111"/>
        <v>0</v>
      </c>
      <c r="AB13" s="105">
        <f t="shared" si="111"/>
        <v>0</v>
      </c>
      <c r="AC13" s="105">
        <f t="shared" si="112"/>
        <v>-100000</v>
      </c>
      <c r="AD13" s="105">
        <f t="shared" si="112"/>
        <v>0</v>
      </c>
      <c r="AE13" s="105">
        <f t="shared" si="112"/>
        <v>0</v>
      </c>
      <c r="AF13" s="105">
        <f t="shared" si="112"/>
        <v>0</v>
      </c>
      <c r="AG13" s="105">
        <f t="shared" si="112"/>
        <v>0</v>
      </c>
      <c r="AH13" s="105">
        <f t="shared" si="112"/>
        <v>0</v>
      </c>
      <c r="AI13" s="105">
        <f t="shared" si="112"/>
        <v>0</v>
      </c>
      <c r="AJ13" s="105">
        <f t="shared" si="112"/>
        <v>0</v>
      </c>
      <c r="AK13" s="105">
        <f t="shared" si="112"/>
        <v>0</v>
      </c>
      <c r="AL13" s="105">
        <f t="shared" si="112"/>
        <v>0</v>
      </c>
      <c r="AM13" s="105">
        <f t="shared" si="112"/>
        <v>0</v>
      </c>
      <c r="AN13" s="105">
        <f t="shared" si="112"/>
        <v>0</v>
      </c>
      <c r="AO13" s="105">
        <f t="shared" si="112"/>
        <v>0</v>
      </c>
      <c r="AP13" s="105">
        <f t="shared" si="112"/>
        <v>0</v>
      </c>
      <c r="AQ13" s="105">
        <f t="shared" si="112"/>
        <v>0</v>
      </c>
      <c r="AR13" s="105">
        <f t="shared" si="112"/>
        <v>0</v>
      </c>
      <c r="AS13" s="105">
        <f t="shared" si="113"/>
        <v>0</v>
      </c>
      <c r="AT13" s="105">
        <f t="shared" si="113"/>
        <v>0</v>
      </c>
      <c r="AU13" s="105">
        <f t="shared" si="113"/>
        <v>0</v>
      </c>
      <c r="AV13" s="105">
        <f t="shared" si="113"/>
        <v>0</v>
      </c>
      <c r="AW13" s="105">
        <f t="shared" si="113"/>
        <v>0</v>
      </c>
      <c r="AX13" s="105">
        <f t="shared" si="113"/>
        <v>0</v>
      </c>
      <c r="AY13" s="105">
        <f t="shared" si="113"/>
        <v>0</v>
      </c>
      <c r="AZ13" s="105">
        <f t="shared" si="113"/>
        <v>0</v>
      </c>
      <c r="BA13" s="105">
        <f t="shared" si="113"/>
        <v>0</v>
      </c>
      <c r="BB13" s="105">
        <f t="shared" si="113"/>
        <v>0</v>
      </c>
      <c r="BC13" s="105">
        <f t="shared" si="113"/>
        <v>0</v>
      </c>
      <c r="BD13" s="105">
        <f t="shared" si="113"/>
        <v>0</v>
      </c>
      <c r="BE13" s="105">
        <f t="shared" si="113"/>
        <v>0</v>
      </c>
      <c r="BF13" s="105">
        <f t="shared" si="113"/>
        <v>0</v>
      </c>
      <c r="BG13" s="105">
        <f t="shared" si="113"/>
        <v>0</v>
      </c>
      <c r="BH13" s="105">
        <f t="shared" si="113"/>
        <v>0</v>
      </c>
      <c r="BI13" s="105">
        <f t="shared" si="114"/>
        <v>0</v>
      </c>
      <c r="BJ13" s="105">
        <f t="shared" si="114"/>
        <v>0</v>
      </c>
      <c r="BK13" s="105">
        <f t="shared" si="114"/>
        <v>0</v>
      </c>
      <c r="BL13" s="105">
        <f t="shared" si="114"/>
        <v>0</v>
      </c>
      <c r="BM13" s="105">
        <f t="shared" si="114"/>
        <v>0</v>
      </c>
      <c r="BN13" s="105">
        <f t="shared" si="114"/>
        <v>0</v>
      </c>
      <c r="BO13" s="105">
        <f t="shared" si="114"/>
        <v>0</v>
      </c>
      <c r="BP13" s="105">
        <f t="shared" si="114"/>
        <v>0</v>
      </c>
      <c r="BQ13" s="105">
        <f t="shared" si="114"/>
        <v>0</v>
      </c>
      <c r="BR13" s="105">
        <f t="shared" si="114"/>
        <v>0</v>
      </c>
      <c r="BS13" s="105">
        <f t="shared" si="114"/>
        <v>0</v>
      </c>
      <c r="BT13" s="105">
        <f t="shared" si="114"/>
        <v>0</v>
      </c>
      <c r="BU13" s="105">
        <f t="shared" si="114"/>
        <v>0</v>
      </c>
      <c r="BV13" s="105">
        <f t="shared" si="114"/>
        <v>0</v>
      </c>
      <c r="BW13" s="105">
        <f t="shared" si="114"/>
        <v>0</v>
      </c>
      <c r="BX13" s="105">
        <f t="shared" si="114"/>
        <v>0</v>
      </c>
      <c r="BY13" s="105">
        <f t="shared" si="115"/>
        <v>0</v>
      </c>
      <c r="BZ13" s="105">
        <f t="shared" si="115"/>
        <v>0</v>
      </c>
      <c r="CA13" s="105">
        <f t="shared" si="115"/>
        <v>0</v>
      </c>
      <c r="CC13" s="105">
        <f t="shared" si="127"/>
        <v>1818.1818181818182</v>
      </c>
      <c r="CD13" s="105">
        <f t="shared" si="116"/>
        <v>1818.1818181818182</v>
      </c>
      <c r="CE13" s="105">
        <f t="shared" si="116"/>
        <v>1818.1818181818182</v>
      </c>
      <c r="CF13" s="105">
        <f t="shared" si="116"/>
        <v>1818.1818181818182</v>
      </c>
      <c r="CG13" s="105">
        <f t="shared" si="116"/>
        <v>1818.1818181818182</v>
      </c>
      <c r="CH13" s="105">
        <f t="shared" si="116"/>
        <v>1818.1818181818182</v>
      </c>
      <c r="CI13" s="105">
        <f t="shared" si="116"/>
        <v>1818.1818181818182</v>
      </c>
      <c r="CJ13" s="105">
        <f t="shared" si="116"/>
        <v>1818.1818181818182</v>
      </c>
      <c r="CK13" s="105">
        <f t="shared" si="116"/>
        <v>1818.1818181818182</v>
      </c>
      <c r="CL13" s="105">
        <f t="shared" si="116"/>
        <v>1818.1818181818182</v>
      </c>
      <c r="CM13" s="105">
        <f t="shared" si="116"/>
        <v>1818.1818181818182</v>
      </c>
      <c r="CN13" s="105">
        <f t="shared" si="116"/>
        <v>1818.1818181818182</v>
      </c>
      <c r="CO13" s="105">
        <f t="shared" si="116"/>
        <v>1818.1818181818182</v>
      </c>
      <c r="CP13" s="105">
        <f t="shared" si="116"/>
        <v>1818.1818181818182</v>
      </c>
      <c r="CQ13" s="105">
        <f t="shared" si="116"/>
        <v>1818.1818181818182</v>
      </c>
      <c r="CR13" s="105">
        <f t="shared" si="116"/>
        <v>1818.1818181818182</v>
      </c>
      <c r="CS13" s="105">
        <f t="shared" si="116"/>
        <v>1818.1818181818182</v>
      </c>
      <c r="CT13" s="105">
        <f t="shared" si="117"/>
        <v>0</v>
      </c>
      <c r="CU13" s="105">
        <f t="shared" si="117"/>
        <v>0</v>
      </c>
      <c r="CV13" s="105">
        <f t="shared" si="117"/>
        <v>0</v>
      </c>
      <c r="CW13" s="105">
        <f t="shared" si="117"/>
        <v>0</v>
      </c>
      <c r="CX13" s="105">
        <f t="shared" si="117"/>
        <v>0</v>
      </c>
      <c r="CY13" s="105">
        <f t="shared" si="117"/>
        <v>0</v>
      </c>
      <c r="CZ13" s="105">
        <f t="shared" si="117"/>
        <v>0</v>
      </c>
      <c r="DA13" s="105">
        <f t="shared" si="117"/>
        <v>0</v>
      </c>
      <c r="DB13" s="105">
        <f t="shared" si="117"/>
        <v>0</v>
      </c>
      <c r="DC13" s="105">
        <f t="shared" si="117"/>
        <v>0</v>
      </c>
      <c r="DD13" s="105">
        <f t="shared" si="117"/>
        <v>0</v>
      </c>
      <c r="DE13" s="105">
        <f t="shared" si="117"/>
        <v>0</v>
      </c>
      <c r="DF13" s="105">
        <f t="shared" si="117"/>
        <v>0</v>
      </c>
      <c r="DG13" s="105">
        <f t="shared" si="117"/>
        <v>0</v>
      </c>
      <c r="DH13" s="105">
        <f t="shared" si="117"/>
        <v>0</v>
      </c>
      <c r="DI13" s="105">
        <f t="shared" si="117"/>
        <v>0</v>
      </c>
      <c r="DJ13" s="105">
        <f t="shared" si="118"/>
        <v>0</v>
      </c>
      <c r="DK13" s="105">
        <f t="shared" si="118"/>
        <v>0</v>
      </c>
      <c r="DL13" s="105">
        <f t="shared" si="118"/>
        <v>0</v>
      </c>
      <c r="DM13" s="105">
        <f t="shared" si="118"/>
        <v>0</v>
      </c>
      <c r="DN13" s="105">
        <f t="shared" si="118"/>
        <v>0</v>
      </c>
      <c r="DO13" s="105">
        <f t="shared" si="118"/>
        <v>0</v>
      </c>
      <c r="DP13" s="105">
        <f t="shared" si="118"/>
        <v>0</v>
      </c>
      <c r="DQ13" s="105">
        <f t="shared" si="118"/>
        <v>0</v>
      </c>
      <c r="DR13" s="105">
        <f t="shared" si="118"/>
        <v>0</v>
      </c>
      <c r="DS13" s="105">
        <f t="shared" si="118"/>
        <v>0</v>
      </c>
      <c r="DT13" s="105">
        <f t="shared" si="118"/>
        <v>0</v>
      </c>
      <c r="DU13" s="105">
        <f t="shared" si="118"/>
        <v>0</v>
      </c>
      <c r="DV13" s="105">
        <f t="shared" si="118"/>
        <v>0</v>
      </c>
      <c r="DW13" s="105">
        <f t="shared" si="118"/>
        <v>0</v>
      </c>
      <c r="DX13" s="105">
        <f t="shared" si="118"/>
        <v>0</v>
      </c>
      <c r="DY13" s="105">
        <f t="shared" si="118"/>
        <v>0</v>
      </c>
      <c r="DZ13" s="105">
        <f t="shared" si="119"/>
        <v>0</v>
      </c>
      <c r="EA13" s="105">
        <f t="shared" si="119"/>
        <v>0</v>
      </c>
      <c r="EB13" s="105">
        <f t="shared" si="119"/>
        <v>0</v>
      </c>
      <c r="EC13" s="105">
        <f t="shared" si="119"/>
        <v>0</v>
      </c>
      <c r="ED13" s="105">
        <f t="shared" si="119"/>
        <v>0</v>
      </c>
      <c r="EE13" s="105">
        <f t="shared" si="119"/>
        <v>0</v>
      </c>
      <c r="EF13" s="105">
        <f t="shared" si="119"/>
        <v>0</v>
      </c>
      <c r="EG13" s="105">
        <f t="shared" si="119"/>
        <v>0</v>
      </c>
      <c r="EH13" s="105">
        <f t="shared" si="119"/>
        <v>0</v>
      </c>
      <c r="EI13" s="105">
        <f t="shared" si="119"/>
        <v>0</v>
      </c>
      <c r="EJ13" s="105">
        <f t="shared" si="119"/>
        <v>0</v>
      </c>
      <c r="EK13" s="105">
        <f t="shared" si="119"/>
        <v>0</v>
      </c>
      <c r="EL13" s="105">
        <f t="shared" si="119"/>
        <v>0</v>
      </c>
      <c r="EM13" s="105">
        <f t="shared" si="119"/>
        <v>0</v>
      </c>
      <c r="EN13" s="105">
        <f t="shared" si="119"/>
        <v>0</v>
      </c>
      <c r="EO13" s="105">
        <f t="shared" si="119"/>
        <v>0</v>
      </c>
      <c r="EP13" s="105">
        <f t="shared" si="120"/>
        <v>0</v>
      </c>
      <c r="EQ13" s="105">
        <f t="shared" si="120"/>
        <v>0</v>
      </c>
      <c r="ER13" s="105">
        <f t="shared" si="120"/>
        <v>0</v>
      </c>
      <c r="ES13" s="105">
        <f t="shared" si="120"/>
        <v>0</v>
      </c>
      <c r="ET13" s="105">
        <f t="shared" si="120"/>
        <v>0</v>
      </c>
      <c r="EU13" s="105">
        <f t="shared" si="120"/>
        <v>0</v>
      </c>
      <c r="EV13" s="105">
        <f t="shared" si="120"/>
        <v>0</v>
      </c>
      <c r="EW13" s="105">
        <f t="shared" si="120"/>
        <v>0</v>
      </c>
      <c r="EX13" s="105">
        <f t="shared" si="120"/>
        <v>0</v>
      </c>
      <c r="EY13" s="105">
        <f t="shared" si="120"/>
        <v>0</v>
      </c>
      <c r="EZ13" s="105">
        <f t="shared" si="120"/>
        <v>0</v>
      </c>
      <c r="FA13" s="105">
        <f t="shared" si="120"/>
        <v>0</v>
      </c>
      <c r="FB13" s="105">
        <f t="shared" si="120"/>
        <v>0</v>
      </c>
      <c r="FC13" s="105">
        <f t="shared" si="120"/>
        <v>0</v>
      </c>
      <c r="FD13" s="105">
        <f t="shared" si="120"/>
        <v>0</v>
      </c>
      <c r="FE13" s="105">
        <f t="shared" si="120"/>
        <v>0</v>
      </c>
      <c r="FF13" s="105">
        <f t="shared" si="121"/>
        <v>0</v>
      </c>
      <c r="FG13" s="105">
        <f t="shared" si="121"/>
        <v>0</v>
      </c>
      <c r="FH13" s="105">
        <f t="shared" si="121"/>
        <v>0</v>
      </c>
      <c r="FI13" s="105">
        <f t="shared" si="121"/>
        <v>0</v>
      </c>
      <c r="FJ13" s="105">
        <f t="shared" si="121"/>
        <v>0</v>
      </c>
      <c r="FK13" s="105">
        <f t="shared" si="121"/>
        <v>0</v>
      </c>
      <c r="FL13" s="105">
        <f t="shared" si="121"/>
        <v>0</v>
      </c>
      <c r="FM13" s="105">
        <f t="shared" si="121"/>
        <v>0</v>
      </c>
      <c r="FN13" s="105">
        <f t="shared" si="121"/>
        <v>0</v>
      </c>
      <c r="FO13" s="105">
        <f t="shared" si="121"/>
        <v>0</v>
      </c>
      <c r="FP13" s="105">
        <f t="shared" si="121"/>
        <v>0</v>
      </c>
      <c r="FQ13" s="105">
        <f t="shared" si="121"/>
        <v>0</v>
      </c>
      <c r="FR13" s="105">
        <f t="shared" si="121"/>
        <v>0</v>
      </c>
      <c r="FS13" s="105">
        <f t="shared" si="121"/>
        <v>0</v>
      </c>
      <c r="FT13" s="105">
        <f t="shared" si="121"/>
        <v>0</v>
      </c>
      <c r="FU13" s="105">
        <f t="shared" si="121"/>
        <v>0</v>
      </c>
      <c r="FV13" s="105">
        <f t="shared" si="122"/>
        <v>0</v>
      </c>
      <c r="FW13" s="105">
        <f t="shared" si="122"/>
        <v>0</v>
      </c>
      <c r="FX13" s="105">
        <f t="shared" si="122"/>
        <v>0</v>
      </c>
      <c r="FY13" s="105">
        <f t="shared" si="122"/>
        <v>0</v>
      </c>
      <c r="FZ13" s="105">
        <f t="shared" si="122"/>
        <v>0</v>
      </c>
      <c r="GA13" s="105">
        <f t="shared" si="122"/>
        <v>0</v>
      </c>
      <c r="GB13" s="105">
        <f t="shared" si="122"/>
        <v>0</v>
      </c>
      <c r="GC13" s="105">
        <f t="shared" si="122"/>
        <v>0</v>
      </c>
      <c r="GD13" s="105">
        <f t="shared" si="122"/>
        <v>0</v>
      </c>
      <c r="GE13" s="105">
        <f t="shared" si="122"/>
        <v>0</v>
      </c>
      <c r="GF13" s="105">
        <f t="shared" si="122"/>
        <v>0</v>
      </c>
      <c r="GG13" s="105">
        <f t="shared" si="122"/>
        <v>0</v>
      </c>
      <c r="GH13" s="105">
        <f t="shared" si="122"/>
        <v>0</v>
      </c>
      <c r="GI13" s="105">
        <f t="shared" si="122"/>
        <v>0</v>
      </c>
    </row>
    <row r="14" spans="1:191">
      <c r="B14" s="12">
        <v>5</v>
      </c>
      <c r="C14" s="12">
        <v>95</v>
      </c>
      <c r="D14" s="12" t="s">
        <v>482</v>
      </c>
      <c r="E14" s="326" t="s">
        <v>515</v>
      </c>
      <c r="F14" s="321">
        <v>100000</v>
      </c>
      <c r="G14" s="365">
        <f t="shared" si="123"/>
        <v>1818.1818181818182</v>
      </c>
      <c r="H14" s="326">
        <f>INDEX( 'Mortality Table'!$C$5:$I$127, MATCH($C14, 'Mortality Table'!$C$5:$C$127, 0), MATCH($D14,'Mortality Table'!$C$5:$I$5, 0) )</f>
        <v>3.05</v>
      </c>
      <c r="I14" s="12">
        <f t="shared" si="124"/>
        <v>2026</v>
      </c>
      <c r="J14" s="12">
        <f t="shared" si="125"/>
        <v>-100000</v>
      </c>
      <c r="K14" s="231"/>
      <c r="L14" s="105">
        <f t="shared" si="126"/>
        <v>0</v>
      </c>
      <c r="M14" s="105">
        <f>IF(M$5 = $I14, - $F14, 0)</f>
        <v>0</v>
      </c>
      <c r="N14" s="105">
        <f t="shared" si="111"/>
        <v>0</v>
      </c>
      <c r="O14" s="105">
        <f t="shared" si="111"/>
        <v>-100000</v>
      </c>
      <c r="P14" s="105">
        <f t="shared" si="111"/>
        <v>0</v>
      </c>
      <c r="Q14" s="105">
        <f t="shared" si="111"/>
        <v>0</v>
      </c>
      <c r="R14" s="105">
        <f t="shared" si="111"/>
        <v>0</v>
      </c>
      <c r="S14" s="105">
        <f t="shared" si="111"/>
        <v>0</v>
      </c>
      <c r="T14" s="105">
        <f t="shared" si="111"/>
        <v>0</v>
      </c>
      <c r="U14" s="105">
        <f t="shared" si="111"/>
        <v>0</v>
      </c>
      <c r="V14" s="105">
        <f t="shared" si="111"/>
        <v>0</v>
      </c>
      <c r="W14" s="105">
        <f t="shared" si="111"/>
        <v>0</v>
      </c>
      <c r="X14" s="105">
        <f t="shared" si="111"/>
        <v>0</v>
      </c>
      <c r="Y14" s="105">
        <f t="shared" si="111"/>
        <v>0</v>
      </c>
      <c r="Z14" s="105">
        <f t="shared" si="111"/>
        <v>0</v>
      </c>
      <c r="AA14" s="105">
        <f t="shared" si="111"/>
        <v>0</v>
      </c>
      <c r="AB14" s="105">
        <f t="shared" si="111"/>
        <v>0</v>
      </c>
      <c r="AC14" s="105">
        <f t="shared" si="112"/>
        <v>0</v>
      </c>
      <c r="AD14" s="105">
        <f>IF(AD$5 = $I14, - $F14, 0)</f>
        <v>0</v>
      </c>
      <c r="AE14" s="105">
        <f t="shared" si="112"/>
        <v>0</v>
      </c>
      <c r="AF14" s="105">
        <f t="shared" si="112"/>
        <v>0</v>
      </c>
      <c r="AG14" s="105">
        <f t="shared" si="112"/>
        <v>0</v>
      </c>
      <c r="AH14" s="105">
        <f t="shared" si="112"/>
        <v>0</v>
      </c>
      <c r="AI14" s="105">
        <f t="shared" si="112"/>
        <v>0</v>
      </c>
      <c r="AJ14" s="105">
        <f t="shared" si="112"/>
        <v>0</v>
      </c>
      <c r="AK14" s="105">
        <f t="shared" si="112"/>
        <v>0</v>
      </c>
      <c r="AL14" s="105">
        <f t="shared" si="112"/>
        <v>0</v>
      </c>
      <c r="AM14" s="105">
        <f t="shared" si="112"/>
        <v>0</v>
      </c>
      <c r="AN14" s="105">
        <f t="shared" si="112"/>
        <v>0</v>
      </c>
      <c r="AO14" s="105">
        <f t="shared" si="112"/>
        <v>0</v>
      </c>
      <c r="AP14" s="105">
        <f t="shared" si="112"/>
        <v>0</v>
      </c>
      <c r="AQ14" s="105">
        <f t="shared" si="112"/>
        <v>0</v>
      </c>
      <c r="AR14" s="105">
        <f t="shared" si="112"/>
        <v>0</v>
      </c>
      <c r="AS14" s="105">
        <f t="shared" si="113"/>
        <v>0</v>
      </c>
      <c r="AT14" s="105">
        <f t="shared" si="113"/>
        <v>0</v>
      </c>
      <c r="AU14" s="105">
        <f t="shared" si="113"/>
        <v>0</v>
      </c>
      <c r="AV14" s="105">
        <f t="shared" si="113"/>
        <v>0</v>
      </c>
      <c r="AW14" s="105">
        <f t="shared" si="113"/>
        <v>0</v>
      </c>
      <c r="AX14" s="105">
        <f t="shared" si="113"/>
        <v>0</v>
      </c>
      <c r="AY14" s="105">
        <f t="shared" si="113"/>
        <v>0</v>
      </c>
      <c r="AZ14" s="105">
        <f t="shared" si="113"/>
        <v>0</v>
      </c>
      <c r="BA14" s="105">
        <f t="shared" si="113"/>
        <v>0</v>
      </c>
      <c r="BB14" s="105">
        <f t="shared" si="113"/>
        <v>0</v>
      </c>
      <c r="BC14" s="105">
        <f t="shared" si="113"/>
        <v>0</v>
      </c>
      <c r="BD14" s="105">
        <f t="shared" si="113"/>
        <v>0</v>
      </c>
      <c r="BE14" s="105">
        <f t="shared" si="113"/>
        <v>0</v>
      </c>
      <c r="BF14" s="105">
        <f t="shared" si="113"/>
        <v>0</v>
      </c>
      <c r="BG14" s="105">
        <f t="shared" si="113"/>
        <v>0</v>
      </c>
      <c r="BH14" s="105">
        <f t="shared" si="113"/>
        <v>0</v>
      </c>
      <c r="BI14" s="105">
        <f t="shared" si="114"/>
        <v>0</v>
      </c>
      <c r="BJ14" s="105">
        <f t="shared" si="114"/>
        <v>0</v>
      </c>
      <c r="BK14" s="105">
        <f t="shared" si="114"/>
        <v>0</v>
      </c>
      <c r="BL14" s="105">
        <f t="shared" si="114"/>
        <v>0</v>
      </c>
      <c r="BM14" s="105">
        <f t="shared" si="114"/>
        <v>0</v>
      </c>
      <c r="BN14" s="105">
        <f t="shared" si="114"/>
        <v>0</v>
      </c>
      <c r="BO14" s="105">
        <f t="shared" si="114"/>
        <v>0</v>
      </c>
      <c r="BP14" s="105">
        <f t="shared" si="114"/>
        <v>0</v>
      </c>
      <c r="BQ14" s="105">
        <f t="shared" si="114"/>
        <v>0</v>
      </c>
      <c r="BR14" s="105">
        <f t="shared" si="114"/>
        <v>0</v>
      </c>
      <c r="BS14" s="105">
        <f t="shared" si="114"/>
        <v>0</v>
      </c>
      <c r="BT14" s="105">
        <f t="shared" si="114"/>
        <v>0</v>
      </c>
      <c r="BU14" s="105">
        <f t="shared" si="114"/>
        <v>0</v>
      </c>
      <c r="BV14" s="105">
        <f t="shared" si="114"/>
        <v>0</v>
      </c>
      <c r="BW14" s="105">
        <f t="shared" si="114"/>
        <v>0</v>
      </c>
      <c r="BX14" s="105">
        <f t="shared" si="114"/>
        <v>0</v>
      </c>
      <c r="BY14" s="105">
        <f t="shared" si="115"/>
        <v>0</v>
      </c>
      <c r="BZ14" s="105">
        <f t="shared" si="115"/>
        <v>0</v>
      </c>
      <c r="CA14" s="105">
        <f t="shared" si="115"/>
        <v>0</v>
      </c>
      <c r="CC14" s="105">
        <f t="shared" si="127"/>
        <v>1818.1818181818182</v>
      </c>
      <c r="CD14" s="105">
        <f t="shared" si="116"/>
        <v>1818.1818181818182</v>
      </c>
      <c r="CE14" s="105">
        <f t="shared" si="116"/>
        <v>1818.1818181818182</v>
      </c>
      <c r="CF14" s="105">
        <f t="shared" si="116"/>
        <v>0</v>
      </c>
      <c r="CG14" s="105">
        <f t="shared" si="116"/>
        <v>0</v>
      </c>
      <c r="CH14" s="105">
        <f t="shared" si="116"/>
        <v>0</v>
      </c>
      <c r="CI14" s="105">
        <f t="shared" si="116"/>
        <v>0</v>
      </c>
      <c r="CJ14" s="105">
        <f t="shared" si="116"/>
        <v>0</v>
      </c>
      <c r="CK14" s="105">
        <f t="shared" si="116"/>
        <v>0</v>
      </c>
      <c r="CL14" s="105">
        <f t="shared" si="116"/>
        <v>0</v>
      </c>
      <c r="CM14" s="105">
        <f t="shared" si="116"/>
        <v>0</v>
      </c>
      <c r="CN14" s="105">
        <f t="shared" si="116"/>
        <v>0</v>
      </c>
      <c r="CO14" s="105">
        <f t="shared" si="116"/>
        <v>0</v>
      </c>
      <c r="CP14" s="105">
        <f t="shared" si="116"/>
        <v>0</v>
      </c>
      <c r="CQ14" s="105">
        <f t="shared" si="116"/>
        <v>0</v>
      </c>
      <c r="CR14" s="105">
        <f t="shared" si="116"/>
        <v>0</v>
      </c>
      <c r="CS14" s="105">
        <f t="shared" si="116"/>
        <v>0</v>
      </c>
      <c r="CT14" s="105">
        <f t="shared" si="117"/>
        <v>0</v>
      </c>
      <c r="CU14" s="105">
        <f t="shared" si="117"/>
        <v>0</v>
      </c>
      <c r="CV14" s="105">
        <f t="shared" si="117"/>
        <v>0</v>
      </c>
      <c r="CW14" s="105">
        <f t="shared" si="117"/>
        <v>0</v>
      </c>
      <c r="CX14" s="105">
        <f t="shared" si="117"/>
        <v>0</v>
      </c>
      <c r="CY14" s="105">
        <f t="shared" si="117"/>
        <v>0</v>
      </c>
      <c r="CZ14" s="105">
        <f t="shared" si="117"/>
        <v>0</v>
      </c>
      <c r="DA14" s="105">
        <f t="shared" si="117"/>
        <v>0</v>
      </c>
      <c r="DB14" s="105">
        <f t="shared" si="117"/>
        <v>0</v>
      </c>
      <c r="DC14" s="105">
        <f t="shared" si="117"/>
        <v>0</v>
      </c>
      <c r="DD14" s="105">
        <f t="shared" si="117"/>
        <v>0</v>
      </c>
      <c r="DE14" s="105">
        <f t="shared" si="117"/>
        <v>0</v>
      </c>
      <c r="DF14" s="105">
        <f t="shared" si="117"/>
        <v>0</v>
      </c>
      <c r="DG14" s="105">
        <f t="shared" si="117"/>
        <v>0</v>
      </c>
      <c r="DH14" s="105">
        <f t="shared" si="117"/>
        <v>0</v>
      </c>
      <c r="DI14" s="105">
        <f t="shared" si="117"/>
        <v>0</v>
      </c>
      <c r="DJ14" s="105">
        <f t="shared" si="118"/>
        <v>0</v>
      </c>
      <c r="DK14" s="105">
        <f t="shared" si="118"/>
        <v>0</v>
      </c>
      <c r="DL14" s="105">
        <f t="shared" si="118"/>
        <v>0</v>
      </c>
      <c r="DM14" s="105">
        <f t="shared" si="118"/>
        <v>0</v>
      </c>
      <c r="DN14" s="105">
        <f t="shared" si="118"/>
        <v>0</v>
      </c>
      <c r="DO14" s="105">
        <f t="shared" si="118"/>
        <v>0</v>
      </c>
      <c r="DP14" s="105">
        <f t="shared" si="118"/>
        <v>0</v>
      </c>
      <c r="DQ14" s="105">
        <f t="shared" si="118"/>
        <v>0</v>
      </c>
      <c r="DR14" s="105">
        <f t="shared" si="118"/>
        <v>0</v>
      </c>
      <c r="DS14" s="105">
        <f t="shared" si="118"/>
        <v>0</v>
      </c>
      <c r="DT14" s="105">
        <f t="shared" si="118"/>
        <v>0</v>
      </c>
      <c r="DU14" s="105">
        <f t="shared" si="118"/>
        <v>0</v>
      </c>
      <c r="DV14" s="105">
        <f t="shared" si="118"/>
        <v>0</v>
      </c>
      <c r="DW14" s="105">
        <f t="shared" si="118"/>
        <v>0</v>
      </c>
      <c r="DX14" s="105">
        <f t="shared" si="118"/>
        <v>0</v>
      </c>
      <c r="DY14" s="105">
        <f t="shared" si="118"/>
        <v>0</v>
      </c>
      <c r="DZ14" s="105">
        <f t="shared" si="119"/>
        <v>0</v>
      </c>
      <c r="EA14" s="105">
        <f t="shared" si="119"/>
        <v>0</v>
      </c>
      <c r="EB14" s="105">
        <f t="shared" si="119"/>
        <v>0</v>
      </c>
      <c r="EC14" s="105">
        <f t="shared" si="119"/>
        <v>0</v>
      </c>
      <c r="ED14" s="105">
        <f t="shared" si="119"/>
        <v>0</v>
      </c>
      <c r="EE14" s="105">
        <f t="shared" si="119"/>
        <v>0</v>
      </c>
      <c r="EF14" s="105">
        <f t="shared" si="119"/>
        <v>0</v>
      </c>
      <c r="EG14" s="105">
        <f t="shared" si="119"/>
        <v>0</v>
      </c>
      <c r="EH14" s="105">
        <f t="shared" si="119"/>
        <v>0</v>
      </c>
      <c r="EI14" s="105">
        <f t="shared" si="119"/>
        <v>0</v>
      </c>
      <c r="EJ14" s="105">
        <f t="shared" si="119"/>
        <v>0</v>
      </c>
      <c r="EK14" s="105">
        <f t="shared" si="119"/>
        <v>0</v>
      </c>
      <c r="EL14" s="105">
        <f t="shared" si="119"/>
        <v>0</v>
      </c>
      <c r="EM14" s="105">
        <f t="shared" si="119"/>
        <v>0</v>
      </c>
      <c r="EN14" s="105">
        <f t="shared" si="119"/>
        <v>0</v>
      </c>
      <c r="EO14" s="105">
        <f t="shared" si="119"/>
        <v>0</v>
      </c>
      <c r="EP14" s="105">
        <f t="shared" si="120"/>
        <v>0</v>
      </c>
      <c r="EQ14" s="105">
        <f t="shared" si="120"/>
        <v>0</v>
      </c>
      <c r="ER14" s="105">
        <f t="shared" si="120"/>
        <v>0</v>
      </c>
      <c r="ES14" s="105">
        <f t="shared" si="120"/>
        <v>0</v>
      </c>
      <c r="ET14" s="105">
        <f t="shared" si="120"/>
        <v>0</v>
      </c>
      <c r="EU14" s="105">
        <f t="shared" si="120"/>
        <v>0</v>
      </c>
      <c r="EV14" s="105">
        <f t="shared" si="120"/>
        <v>0</v>
      </c>
      <c r="EW14" s="105">
        <f t="shared" si="120"/>
        <v>0</v>
      </c>
      <c r="EX14" s="105">
        <f t="shared" si="120"/>
        <v>0</v>
      </c>
      <c r="EY14" s="105">
        <f t="shared" si="120"/>
        <v>0</v>
      </c>
      <c r="EZ14" s="105">
        <f t="shared" si="120"/>
        <v>0</v>
      </c>
      <c r="FA14" s="105">
        <f t="shared" si="120"/>
        <v>0</v>
      </c>
      <c r="FB14" s="105">
        <f t="shared" si="120"/>
        <v>0</v>
      </c>
      <c r="FC14" s="105">
        <f t="shared" si="120"/>
        <v>0</v>
      </c>
      <c r="FD14" s="105">
        <f t="shared" si="120"/>
        <v>0</v>
      </c>
      <c r="FE14" s="105">
        <f t="shared" si="120"/>
        <v>0</v>
      </c>
      <c r="FF14" s="105">
        <f t="shared" si="121"/>
        <v>0</v>
      </c>
      <c r="FG14" s="105">
        <f t="shared" si="121"/>
        <v>0</v>
      </c>
      <c r="FH14" s="105">
        <f t="shared" si="121"/>
        <v>0</v>
      </c>
      <c r="FI14" s="105">
        <f t="shared" si="121"/>
        <v>0</v>
      </c>
      <c r="FJ14" s="105">
        <f t="shared" si="121"/>
        <v>0</v>
      </c>
      <c r="FK14" s="105">
        <f t="shared" si="121"/>
        <v>0</v>
      </c>
      <c r="FL14" s="105">
        <f t="shared" si="121"/>
        <v>0</v>
      </c>
      <c r="FM14" s="105">
        <f t="shared" si="121"/>
        <v>0</v>
      </c>
      <c r="FN14" s="105">
        <f t="shared" si="121"/>
        <v>0</v>
      </c>
      <c r="FO14" s="105">
        <f t="shared" si="121"/>
        <v>0</v>
      </c>
      <c r="FP14" s="105">
        <f t="shared" si="121"/>
        <v>0</v>
      </c>
      <c r="FQ14" s="105">
        <f t="shared" si="121"/>
        <v>0</v>
      </c>
      <c r="FR14" s="105">
        <f t="shared" si="121"/>
        <v>0</v>
      </c>
      <c r="FS14" s="105">
        <f t="shared" si="121"/>
        <v>0</v>
      </c>
      <c r="FT14" s="105">
        <f t="shared" si="121"/>
        <v>0</v>
      </c>
      <c r="FU14" s="105">
        <f t="shared" si="121"/>
        <v>0</v>
      </c>
      <c r="FV14" s="105">
        <f t="shared" si="122"/>
        <v>0</v>
      </c>
      <c r="FW14" s="105">
        <f t="shared" si="122"/>
        <v>0</v>
      </c>
      <c r="FX14" s="105">
        <f t="shared" si="122"/>
        <v>0</v>
      </c>
      <c r="FY14" s="105">
        <f t="shared" si="122"/>
        <v>0</v>
      </c>
      <c r="FZ14" s="105">
        <f t="shared" si="122"/>
        <v>0</v>
      </c>
      <c r="GA14" s="105">
        <f t="shared" si="122"/>
        <v>0</v>
      </c>
      <c r="GB14" s="105">
        <f t="shared" si="122"/>
        <v>0</v>
      </c>
      <c r="GC14" s="105">
        <f t="shared" si="122"/>
        <v>0</v>
      </c>
      <c r="GD14" s="105">
        <f t="shared" si="122"/>
        <v>0</v>
      </c>
      <c r="GE14" s="105">
        <f t="shared" si="122"/>
        <v>0</v>
      </c>
      <c r="GF14" s="105">
        <f t="shared" si="122"/>
        <v>0</v>
      </c>
      <c r="GG14" s="105">
        <f t="shared" si="122"/>
        <v>0</v>
      </c>
      <c r="GH14" s="105">
        <f t="shared" si="122"/>
        <v>0</v>
      </c>
      <c r="GI14" s="105">
        <f t="shared" si="122"/>
        <v>0</v>
      </c>
    </row>
    <row r="15" spans="1:191">
      <c r="B15" s="12">
        <v>4</v>
      </c>
      <c r="C15" s="12">
        <v>98</v>
      </c>
      <c r="D15" s="12" t="s">
        <v>482</v>
      </c>
      <c r="E15" s="326" t="s">
        <v>515</v>
      </c>
      <c r="F15" s="321">
        <v>1000000</v>
      </c>
      <c r="G15" s="365">
        <f t="shared" si="123"/>
        <v>18181.81818181818</v>
      </c>
      <c r="H15" s="326">
        <f>INDEX( 'Mortality Table'!$C$5:$I$127, MATCH($C15, 'Mortality Table'!$C$5:$C$127, 0), MATCH($D15,'Mortality Table'!$C$5:$I$5, 0) )</f>
        <v>2.52</v>
      </c>
      <c r="I15" s="12">
        <f t="shared" si="124"/>
        <v>2026</v>
      </c>
      <c r="J15" s="12">
        <f t="shared" si="125"/>
        <v>-1000000</v>
      </c>
      <c r="K15" s="231"/>
      <c r="L15" s="105">
        <f t="shared" si="126"/>
        <v>0</v>
      </c>
      <c r="M15" s="105">
        <f t="shared" si="111"/>
        <v>0</v>
      </c>
      <c r="N15" s="105">
        <f t="shared" si="111"/>
        <v>0</v>
      </c>
      <c r="O15" s="105">
        <f t="shared" si="111"/>
        <v>-1000000</v>
      </c>
      <c r="P15" s="105">
        <f t="shared" si="111"/>
        <v>0</v>
      </c>
      <c r="Q15" s="105">
        <f t="shared" si="111"/>
        <v>0</v>
      </c>
      <c r="R15" s="105">
        <f t="shared" si="111"/>
        <v>0</v>
      </c>
      <c r="S15" s="105">
        <f t="shared" si="111"/>
        <v>0</v>
      </c>
      <c r="T15" s="105">
        <f t="shared" si="111"/>
        <v>0</v>
      </c>
      <c r="U15" s="105">
        <f t="shared" si="111"/>
        <v>0</v>
      </c>
      <c r="V15" s="105">
        <f t="shared" si="111"/>
        <v>0</v>
      </c>
      <c r="W15" s="105">
        <f t="shared" si="111"/>
        <v>0</v>
      </c>
      <c r="X15" s="105">
        <f t="shared" si="111"/>
        <v>0</v>
      </c>
      <c r="Y15" s="105">
        <f t="shared" si="111"/>
        <v>0</v>
      </c>
      <c r="Z15" s="105">
        <f t="shared" si="111"/>
        <v>0</v>
      </c>
      <c r="AA15" s="105">
        <f t="shared" si="111"/>
        <v>0</v>
      </c>
      <c r="AB15" s="105">
        <f t="shared" si="111"/>
        <v>0</v>
      </c>
      <c r="AC15" s="105">
        <f t="shared" si="112"/>
        <v>0</v>
      </c>
      <c r="AD15" s="105">
        <f t="shared" si="112"/>
        <v>0</v>
      </c>
      <c r="AE15" s="105">
        <f t="shared" si="112"/>
        <v>0</v>
      </c>
      <c r="AF15" s="105">
        <f t="shared" si="112"/>
        <v>0</v>
      </c>
      <c r="AG15" s="105">
        <f t="shared" si="112"/>
        <v>0</v>
      </c>
      <c r="AH15" s="105">
        <f t="shared" si="112"/>
        <v>0</v>
      </c>
      <c r="AI15" s="105">
        <f t="shared" si="112"/>
        <v>0</v>
      </c>
      <c r="AJ15" s="105">
        <f t="shared" si="112"/>
        <v>0</v>
      </c>
      <c r="AK15" s="105">
        <f t="shared" si="112"/>
        <v>0</v>
      </c>
      <c r="AL15" s="105">
        <f t="shared" si="112"/>
        <v>0</v>
      </c>
      <c r="AM15" s="105">
        <f t="shared" si="112"/>
        <v>0</v>
      </c>
      <c r="AN15" s="105">
        <f t="shared" si="112"/>
        <v>0</v>
      </c>
      <c r="AO15" s="105">
        <f t="shared" si="112"/>
        <v>0</v>
      </c>
      <c r="AP15" s="105">
        <f t="shared" si="112"/>
        <v>0</v>
      </c>
      <c r="AQ15" s="105">
        <f t="shared" si="112"/>
        <v>0</v>
      </c>
      <c r="AR15" s="105">
        <f t="shared" si="112"/>
        <v>0</v>
      </c>
      <c r="AS15" s="105">
        <f t="shared" si="113"/>
        <v>0</v>
      </c>
      <c r="AT15" s="105">
        <f t="shared" si="113"/>
        <v>0</v>
      </c>
      <c r="AU15" s="105">
        <f t="shared" si="113"/>
        <v>0</v>
      </c>
      <c r="AV15" s="105">
        <f t="shared" si="113"/>
        <v>0</v>
      </c>
      <c r="AW15" s="105">
        <f t="shared" si="113"/>
        <v>0</v>
      </c>
      <c r="AX15" s="105">
        <f t="shared" si="113"/>
        <v>0</v>
      </c>
      <c r="AY15" s="105">
        <f t="shared" si="113"/>
        <v>0</v>
      </c>
      <c r="AZ15" s="105">
        <f t="shared" si="113"/>
        <v>0</v>
      </c>
      <c r="BA15" s="105">
        <f t="shared" si="113"/>
        <v>0</v>
      </c>
      <c r="BB15" s="105">
        <f t="shared" si="113"/>
        <v>0</v>
      </c>
      <c r="BC15" s="105">
        <f t="shared" si="113"/>
        <v>0</v>
      </c>
      <c r="BD15" s="105">
        <f t="shared" si="113"/>
        <v>0</v>
      </c>
      <c r="BE15" s="105">
        <f t="shared" si="113"/>
        <v>0</v>
      </c>
      <c r="BF15" s="105">
        <f t="shared" si="113"/>
        <v>0</v>
      </c>
      <c r="BG15" s="105">
        <f t="shared" si="113"/>
        <v>0</v>
      </c>
      <c r="BH15" s="105">
        <f t="shared" si="113"/>
        <v>0</v>
      </c>
      <c r="BI15" s="105">
        <f t="shared" si="114"/>
        <v>0</v>
      </c>
      <c r="BJ15" s="105">
        <f t="shared" si="114"/>
        <v>0</v>
      </c>
      <c r="BK15" s="105">
        <f t="shared" si="114"/>
        <v>0</v>
      </c>
      <c r="BL15" s="105">
        <f t="shared" si="114"/>
        <v>0</v>
      </c>
      <c r="BM15" s="105">
        <f t="shared" si="114"/>
        <v>0</v>
      </c>
      <c r="BN15" s="105">
        <f t="shared" si="114"/>
        <v>0</v>
      </c>
      <c r="BO15" s="105">
        <f t="shared" si="114"/>
        <v>0</v>
      </c>
      <c r="BP15" s="105">
        <f t="shared" si="114"/>
        <v>0</v>
      </c>
      <c r="BQ15" s="105">
        <f t="shared" si="114"/>
        <v>0</v>
      </c>
      <c r="BR15" s="105">
        <f t="shared" si="114"/>
        <v>0</v>
      </c>
      <c r="BS15" s="105">
        <f t="shared" si="114"/>
        <v>0</v>
      </c>
      <c r="BT15" s="105">
        <f t="shared" si="114"/>
        <v>0</v>
      </c>
      <c r="BU15" s="105">
        <f t="shared" si="114"/>
        <v>0</v>
      </c>
      <c r="BV15" s="105">
        <f t="shared" si="114"/>
        <v>0</v>
      </c>
      <c r="BW15" s="105">
        <f t="shared" si="114"/>
        <v>0</v>
      </c>
      <c r="BX15" s="105">
        <f t="shared" si="114"/>
        <v>0</v>
      </c>
      <c r="BY15" s="105">
        <f t="shared" si="115"/>
        <v>0</v>
      </c>
      <c r="BZ15" s="105">
        <f t="shared" si="115"/>
        <v>0</v>
      </c>
      <c r="CA15" s="105">
        <f t="shared" si="115"/>
        <v>0</v>
      </c>
      <c r="CC15" s="105">
        <f t="shared" si="127"/>
        <v>18181.81818181818</v>
      </c>
      <c r="CD15" s="105">
        <f t="shared" si="116"/>
        <v>18181.81818181818</v>
      </c>
      <c r="CE15" s="105">
        <f t="shared" si="116"/>
        <v>18181.81818181818</v>
      </c>
      <c r="CF15" s="105">
        <f t="shared" si="116"/>
        <v>0</v>
      </c>
      <c r="CG15" s="105">
        <f t="shared" si="116"/>
        <v>0</v>
      </c>
      <c r="CH15" s="105">
        <f t="shared" si="116"/>
        <v>0</v>
      </c>
      <c r="CI15" s="105">
        <f t="shared" si="116"/>
        <v>0</v>
      </c>
      <c r="CJ15" s="105">
        <f t="shared" si="116"/>
        <v>0</v>
      </c>
      <c r="CK15" s="105">
        <f t="shared" si="116"/>
        <v>0</v>
      </c>
      <c r="CL15" s="105">
        <f t="shared" si="116"/>
        <v>0</v>
      </c>
      <c r="CM15" s="105">
        <f t="shared" si="116"/>
        <v>0</v>
      </c>
      <c r="CN15" s="105">
        <f t="shared" si="116"/>
        <v>0</v>
      </c>
      <c r="CO15" s="105">
        <f t="shared" si="116"/>
        <v>0</v>
      </c>
      <c r="CP15" s="105">
        <f t="shared" si="116"/>
        <v>0</v>
      </c>
      <c r="CQ15" s="105">
        <f t="shared" si="116"/>
        <v>0</v>
      </c>
      <c r="CR15" s="105">
        <f t="shared" si="116"/>
        <v>0</v>
      </c>
      <c r="CS15" s="105">
        <f t="shared" si="116"/>
        <v>0</v>
      </c>
      <c r="CT15" s="105">
        <f t="shared" si="117"/>
        <v>0</v>
      </c>
      <c r="CU15" s="105">
        <f t="shared" si="117"/>
        <v>0</v>
      </c>
      <c r="CV15" s="105">
        <f t="shared" si="117"/>
        <v>0</v>
      </c>
      <c r="CW15" s="105">
        <f t="shared" si="117"/>
        <v>0</v>
      </c>
      <c r="CX15" s="105">
        <f t="shared" si="117"/>
        <v>0</v>
      </c>
      <c r="CY15" s="105">
        <f t="shared" si="117"/>
        <v>0</v>
      </c>
      <c r="CZ15" s="105">
        <f t="shared" si="117"/>
        <v>0</v>
      </c>
      <c r="DA15" s="105">
        <f t="shared" si="117"/>
        <v>0</v>
      </c>
      <c r="DB15" s="105">
        <f t="shared" si="117"/>
        <v>0</v>
      </c>
      <c r="DC15" s="105">
        <f t="shared" si="117"/>
        <v>0</v>
      </c>
      <c r="DD15" s="105">
        <f t="shared" si="117"/>
        <v>0</v>
      </c>
      <c r="DE15" s="105">
        <f t="shared" si="117"/>
        <v>0</v>
      </c>
      <c r="DF15" s="105">
        <f t="shared" si="117"/>
        <v>0</v>
      </c>
      <c r="DG15" s="105">
        <f t="shared" si="117"/>
        <v>0</v>
      </c>
      <c r="DH15" s="105">
        <f t="shared" si="117"/>
        <v>0</v>
      </c>
      <c r="DI15" s="105">
        <f t="shared" si="117"/>
        <v>0</v>
      </c>
      <c r="DJ15" s="105">
        <f t="shared" si="118"/>
        <v>0</v>
      </c>
      <c r="DK15" s="105">
        <f t="shared" si="118"/>
        <v>0</v>
      </c>
      <c r="DL15" s="105">
        <f t="shared" si="118"/>
        <v>0</v>
      </c>
      <c r="DM15" s="105">
        <f t="shared" si="118"/>
        <v>0</v>
      </c>
      <c r="DN15" s="105">
        <f t="shared" si="118"/>
        <v>0</v>
      </c>
      <c r="DO15" s="105">
        <f t="shared" si="118"/>
        <v>0</v>
      </c>
      <c r="DP15" s="105">
        <f t="shared" si="118"/>
        <v>0</v>
      </c>
      <c r="DQ15" s="105">
        <f t="shared" si="118"/>
        <v>0</v>
      </c>
      <c r="DR15" s="105">
        <f t="shared" si="118"/>
        <v>0</v>
      </c>
      <c r="DS15" s="105">
        <f t="shared" si="118"/>
        <v>0</v>
      </c>
      <c r="DT15" s="105">
        <f t="shared" si="118"/>
        <v>0</v>
      </c>
      <c r="DU15" s="105">
        <f t="shared" si="118"/>
        <v>0</v>
      </c>
      <c r="DV15" s="105">
        <f t="shared" si="118"/>
        <v>0</v>
      </c>
      <c r="DW15" s="105">
        <f t="shared" si="118"/>
        <v>0</v>
      </c>
      <c r="DX15" s="105">
        <f t="shared" si="118"/>
        <v>0</v>
      </c>
      <c r="DY15" s="105">
        <f t="shared" si="118"/>
        <v>0</v>
      </c>
      <c r="DZ15" s="105">
        <f t="shared" si="119"/>
        <v>0</v>
      </c>
      <c r="EA15" s="105">
        <f t="shared" si="119"/>
        <v>0</v>
      </c>
      <c r="EB15" s="105">
        <f t="shared" si="119"/>
        <v>0</v>
      </c>
      <c r="EC15" s="105">
        <f t="shared" si="119"/>
        <v>0</v>
      </c>
      <c r="ED15" s="105">
        <f t="shared" si="119"/>
        <v>0</v>
      </c>
      <c r="EE15" s="105">
        <f t="shared" si="119"/>
        <v>0</v>
      </c>
      <c r="EF15" s="105">
        <f t="shared" si="119"/>
        <v>0</v>
      </c>
      <c r="EG15" s="105">
        <f t="shared" si="119"/>
        <v>0</v>
      </c>
      <c r="EH15" s="105">
        <f t="shared" si="119"/>
        <v>0</v>
      </c>
      <c r="EI15" s="105">
        <f t="shared" si="119"/>
        <v>0</v>
      </c>
      <c r="EJ15" s="105">
        <f t="shared" si="119"/>
        <v>0</v>
      </c>
      <c r="EK15" s="105">
        <f t="shared" si="119"/>
        <v>0</v>
      </c>
      <c r="EL15" s="105">
        <f t="shared" si="119"/>
        <v>0</v>
      </c>
      <c r="EM15" s="105">
        <f t="shared" si="119"/>
        <v>0</v>
      </c>
      <c r="EN15" s="105">
        <f t="shared" si="119"/>
        <v>0</v>
      </c>
      <c r="EO15" s="105">
        <f t="shared" si="119"/>
        <v>0</v>
      </c>
      <c r="EP15" s="105">
        <f t="shared" si="120"/>
        <v>0</v>
      </c>
      <c r="EQ15" s="105">
        <f t="shared" si="120"/>
        <v>0</v>
      </c>
      <c r="ER15" s="105">
        <f t="shared" si="120"/>
        <v>0</v>
      </c>
      <c r="ES15" s="105">
        <f t="shared" si="120"/>
        <v>0</v>
      </c>
      <c r="ET15" s="105">
        <f t="shared" si="120"/>
        <v>0</v>
      </c>
      <c r="EU15" s="105">
        <f t="shared" si="120"/>
        <v>0</v>
      </c>
      <c r="EV15" s="105">
        <f t="shared" si="120"/>
        <v>0</v>
      </c>
      <c r="EW15" s="105">
        <f t="shared" si="120"/>
        <v>0</v>
      </c>
      <c r="EX15" s="105">
        <f t="shared" si="120"/>
        <v>0</v>
      </c>
      <c r="EY15" s="105">
        <f t="shared" si="120"/>
        <v>0</v>
      </c>
      <c r="EZ15" s="105">
        <f t="shared" si="120"/>
        <v>0</v>
      </c>
      <c r="FA15" s="105">
        <f t="shared" si="120"/>
        <v>0</v>
      </c>
      <c r="FB15" s="105">
        <f t="shared" si="120"/>
        <v>0</v>
      </c>
      <c r="FC15" s="105">
        <f t="shared" si="120"/>
        <v>0</v>
      </c>
      <c r="FD15" s="105">
        <f t="shared" si="120"/>
        <v>0</v>
      </c>
      <c r="FE15" s="105">
        <f t="shared" si="120"/>
        <v>0</v>
      </c>
      <c r="FF15" s="105">
        <f t="shared" si="121"/>
        <v>0</v>
      </c>
      <c r="FG15" s="105">
        <f t="shared" si="121"/>
        <v>0</v>
      </c>
      <c r="FH15" s="105">
        <f t="shared" si="121"/>
        <v>0</v>
      </c>
      <c r="FI15" s="105">
        <f t="shared" si="121"/>
        <v>0</v>
      </c>
      <c r="FJ15" s="105">
        <f t="shared" si="121"/>
        <v>0</v>
      </c>
      <c r="FK15" s="105">
        <f t="shared" si="121"/>
        <v>0</v>
      </c>
      <c r="FL15" s="105">
        <f t="shared" si="121"/>
        <v>0</v>
      </c>
      <c r="FM15" s="105">
        <f t="shared" si="121"/>
        <v>0</v>
      </c>
      <c r="FN15" s="105">
        <f t="shared" si="121"/>
        <v>0</v>
      </c>
      <c r="FO15" s="105">
        <f t="shared" si="121"/>
        <v>0</v>
      </c>
      <c r="FP15" s="105">
        <f t="shared" si="121"/>
        <v>0</v>
      </c>
      <c r="FQ15" s="105">
        <f t="shared" si="121"/>
        <v>0</v>
      </c>
      <c r="FR15" s="105">
        <f t="shared" si="121"/>
        <v>0</v>
      </c>
      <c r="FS15" s="105">
        <f t="shared" si="121"/>
        <v>0</v>
      </c>
      <c r="FT15" s="105">
        <f t="shared" si="121"/>
        <v>0</v>
      </c>
      <c r="FU15" s="105">
        <f t="shared" si="121"/>
        <v>0</v>
      </c>
      <c r="FV15" s="105">
        <f t="shared" si="122"/>
        <v>0</v>
      </c>
      <c r="FW15" s="105">
        <f t="shared" si="122"/>
        <v>0</v>
      </c>
      <c r="FX15" s="105">
        <f t="shared" si="122"/>
        <v>0</v>
      </c>
      <c r="FY15" s="105">
        <f t="shared" si="122"/>
        <v>0</v>
      </c>
      <c r="FZ15" s="105">
        <f t="shared" si="122"/>
        <v>0</v>
      </c>
      <c r="GA15" s="105">
        <f t="shared" si="122"/>
        <v>0</v>
      </c>
      <c r="GB15" s="105">
        <f t="shared" si="122"/>
        <v>0</v>
      </c>
      <c r="GC15" s="105">
        <f t="shared" si="122"/>
        <v>0</v>
      </c>
      <c r="GD15" s="105">
        <f t="shared" si="122"/>
        <v>0</v>
      </c>
      <c r="GE15" s="105">
        <f t="shared" si="122"/>
        <v>0</v>
      </c>
      <c r="GF15" s="105">
        <f t="shared" si="122"/>
        <v>0</v>
      </c>
      <c r="GG15" s="105">
        <f t="shared" si="122"/>
        <v>0</v>
      </c>
      <c r="GH15" s="105">
        <f t="shared" si="122"/>
        <v>0</v>
      </c>
      <c r="GI15" s="105">
        <f t="shared" si="122"/>
        <v>0</v>
      </c>
    </row>
    <row r="16" spans="1:191">
      <c r="B16" s="12"/>
      <c r="C16" s="12"/>
      <c r="D16" s="12"/>
      <c r="E16" s="332" t="s">
        <v>7</v>
      </c>
      <c r="F16" s="333">
        <f>SUM(F6:F15)</f>
        <v>3050000</v>
      </c>
      <c r="G16" s="12"/>
      <c r="H16" s="12"/>
      <c r="I16" s="323" t="s">
        <v>7</v>
      </c>
      <c r="J16" s="322">
        <f>SUM(J6:J15)</f>
        <v>-3050000</v>
      </c>
      <c r="K16" s="324"/>
      <c r="L16" s="322">
        <f>SUM(L6:L15)</f>
        <v>0</v>
      </c>
      <c r="M16" s="322">
        <f t="shared" ref="M16:BX16" si="128">SUM(M6:M15)</f>
        <v>0</v>
      </c>
      <c r="N16" s="322">
        <f t="shared" si="128"/>
        <v>0</v>
      </c>
      <c r="O16" s="322">
        <f>SUM(O6:O15)</f>
        <v>-1100000</v>
      </c>
      <c r="P16" s="322">
        <f t="shared" si="128"/>
        <v>0</v>
      </c>
      <c r="Q16" s="322">
        <f t="shared" si="128"/>
        <v>0</v>
      </c>
      <c r="R16" s="322">
        <f t="shared" si="128"/>
        <v>0</v>
      </c>
      <c r="S16" s="322">
        <f t="shared" si="128"/>
        <v>0</v>
      </c>
      <c r="T16" s="322">
        <f t="shared" si="128"/>
        <v>0</v>
      </c>
      <c r="U16" s="322">
        <f t="shared" si="128"/>
        <v>0</v>
      </c>
      <c r="V16" s="322">
        <f t="shared" si="128"/>
        <v>0</v>
      </c>
      <c r="W16" s="322">
        <f t="shared" si="128"/>
        <v>0</v>
      </c>
      <c r="X16" s="322">
        <f t="shared" si="128"/>
        <v>0</v>
      </c>
      <c r="Y16" s="322">
        <f t="shared" si="128"/>
        <v>0</v>
      </c>
      <c r="Z16" s="322">
        <f t="shared" si="128"/>
        <v>0</v>
      </c>
      <c r="AA16" s="322">
        <f t="shared" si="128"/>
        <v>0</v>
      </c>
      <c r="AB16" s="322">
        <f t="shared" si="128"/>
        <v>0</v>
      </c>
      <c r="AC16" s="322">
        <f t="shared" si="128"/>
        <v>-100000</v>
      </c>
      <c r="AD16" s="322">
        <f t="shared" si="128"/>
        <v>-100000</v>
      </c>
      <c r="AE16" s="322">
        <f t="shared" si="128"/>
        <v>-500000</v>
      </c>
      <c r="AF16" s="322">
        <f t="shared" si="128"/>
        <v>0</v>
      </c>
      <c r="AG16" s="322">
        <f t="shared" si="128"/>
        <v>0</v>
      </c>
      <c r="AH16" s="322">
        <f t="shared" si="128"/>
        <v>0</v>
      </c>
      <c r="AI16" s="322">
        <f t="shared" si="128"/>
        <v>0</v>
      </c>
      <c r="AJ16" s="322">
        <f t="shared" si="128"/>
        <v>0</v>
      </c>
      <c r="AK16" s="322">
        <f t="shared" si="128"/>
        <v>0</v>
      </c>
      <c r="AL16" s="322">
        <f t="shared" si="128"/>
        <v>0</v>
      </c>
      <c r="AM16" s="322">
        <f t="shared" si="128"/>
        <v>0</v>
      </c>
      <c r="AN16" s="322">
        <f t="shared" si="128"/>
        <v>0</v>
      </c>
      <c r="AO16" s="322">
        <f t="shared" si="128"/>
        <v>0</v>
      </c>
      <c r="AP16" s="322">
        <f t="shared" si="128"/>
        <v>0</v>
      </c>
      <c r="AQ16" s="322">
        <f t="shared" si="128"/>
        <v>0</v>
      </c>
      <c r="AR16" s="322">
        <f t="shared" si="128"/>
        <v>0</v>
      </c>
      <c r="AS16" s="322">
        <f t="shared" si="128"/>
        <v>0</v>
      </c>
      <c r="AT16" s="322">
        <f t="shared" si="128"/>
        <v>0</v>
      </c>
      <c r="AU16" s="322">
        <f t="shared" si="128"/>
        <v>0</v>
      </c>
      <c r="AV16" s="322">
        <f t="shared" si="128"/>
        <v>0</v>
      </c>
      <c r="AW16" s="322">
        <f t="shared" si="128"/>
        <v>-250000</v>
      </c>
      <c r="AX16" s="322">
        <f t="shared" si="128"/>
        <v>-100000</v>
      </c>
      <c r="AY16" s="322">
        <f t="shared" si="128"/>
        <v>0</v>
      </c>
      <c r="AZ16" s="322">
        <f t="shared" si="128"/>
        <v>0</v>
      </c>
      <c r="BA16" s="322">
        <f t="shared" si="128"/>
        <v>0</v>
      </c>
      <c r="BB16" s="322">
        <f t="shared" si="128"/>
        <v>0</v>
      </c>
      <c r="BC16" s="322">
        <f t="shared" si="128"/>
        <v>0</v>
      </c>
      <c r="BD16" s="322">
        <f t="shared" si="128"/>
        <v>0</v>
      </c>
      <c r="BE16" s="322">
        <f t="shared" si="128"/>
        <v>0</v>
      </c>
      <c r="BF16" s="322">
        <f t="shared" si="128"/>
        <v>-100000</v>
      </c>
      <c r="BG16" s="322">
        <f t="shared" si="128"/>
        <v>0</v>
      </c>
      <c r="BH16" s="322">
        <f t="shared" si="128"/>
        <v>0</v>
      </c>
      <c r="BI16" s="322">
        <f t="shared" si="128"/>
        <v>0</v>
      </c>
      <c r="BJ16" s="322">
        <f t="shared" si="128"/>
        <v>0</v>
      </c>
      <c r="BK16" s="322">
        <f t="shared" si="128"/>
        <v>0</v>
      </c>
      <c r="BL16" s="322">
        <f t="shared" si="128"/>
        <v>0</v>
      </c>
      <c r="BM16" s="322">
        <f t="shared" si="128"/>
        <v>0</v>
      </c>
      <c r="BN16" s="322">
        <f t="shared" si="128"/>
        <v>0</v>
      </c>
      <c r="BO16" s="322">
        <f t="shared" si="128"/>
        <v>0</v>
      </c>
      <c r="BP16" s="322">
        <f t="shared" si="128"/>
        <v>0</v>
      </c>
      <c r="BQ16" s="322">
        <f t="shared" si="128"/>
        <v>0</v>
      </c>
      <c r="BR16" s="322">
        <f t="shared" si="128"/>
        <v>0</v>
      </c>
      <c r="BS16" s="322">
        <f t="shared" si="128"/>
        <v>-100000</v>
      </c>
      <c r="BT16" s="322">
        <f t="shared" si="128"/>
        <v>0</v>
      </c>
      <c r="BU16" s="322">
        <f t="shared" si="128"/>
        <v>0</v>
      </c>
      <c r="BV16" s="322">
        <f t="shared" si="128"/>
        <v>-700000</v>
      </c>
      <c r="BW16" s="322">
        <f t="shared" si="128"/>
        <v>0</v>
      </c>
      <c r="BX16" s="322">
        <f t="shared" si="128"/>
        <v>0</v>
      </c>
      <c r="BY16" s="322">
        <f t="shared" ref="BY16:CA16" si="129">SUM(BY6:BY15)</f>
        <v>0</v>
      </c>
      <c r="BZ16" s="322">
        <f t="shared" si="129"/>
        <v>0</v>
      </c>
      <c r="CA16" s="322">
        <f t="shared" si="129"/>
        <v>0</v>
      </c>
      <c r="CC16" s="322">
        <f>SUM(CC6:CC15)</f>
        <v>55454.545454545441</v>
      </c>
      <c r="CD16" s="322">
        <f t="shared" ref="CD16:EO16" si="130">SUM(CD6:CD15)</f>
        <v>55454.545454545441</v>
      </c>
      <c r="CE16" s="322">
        <f t="shared" si="130"/>
        <v>55454.545454545441</v>
      </c>
      <c r="CF16" s="322">
        <f t="shared" si="130"/>
        <v>35454.545454545449</v>
      </c>
      <c r="CG16" s="322">
        <f t="shared" si="130"/>
        <v>35454.545454545449</v>
      </c>
      <c r="CH16" s="322">
        <f t="shared" si="130"/>
        <v>35454.545454545449</v>
      </c>
      <c r="CI16" s="322">
        <f t="shared" si="130"/>
        <v>35454.545454545449</v>
      </c>
      <c r="CJ16" s="322">
        <f t="shared" si="130"/>
        <v>35454.545454545449</v>
      </c>
      <c r="CK16" s="322">
        <f t="shared" si="130"/>
        <v>35454.545454545449</v>
      </c>
      <c r="CL16" s="322">
        <f t="shared" si="130"/>
        <v>35454.545454545449</v>
      </c>
      <c r="CM16" s="322">
        <f t="shared" si="130"/>
        <v>35454.545454545449</v>
      </c>
      <c r="CN16" s="322">
        <f t="shared" si="130"/>
        <v>35454.545454545449</v>
      </c>
      <c r="CO16" s="322">
        <f t="shared" si="130"/>
        <v>35454.545454545449</v>
      </c>
      <c r="CP16" s="322">
        <f t="shared" si="130"/>
        <v>35454.545454545449</v>
      </c>
      <c r="CQ16" s="322">
        <f t="shared" si="130"/>
        <v>35454.545454545449</v>
      </c>
      <c r="CR16" s="322">
        <f t="shared" si="130"/>
        <v>35454.545454545449</v>
      </c>
      <c r="CS16" s="322">
        <f t="shared" si="130"/>
        <v>35454.545454545449</v>
      </c>
      <c r="CT16" s="322">
        <f t="shared" si="130"/>
        <v>33636.363636363632</v>
      </c>
      <c r="CU16" s="322">
        <f t="shared" si="130"/>
        <v>31818.181818181816</v>
      </c>
      <c r="CV16" s="322">
        <f t="shared" si="130"/>
        <v>22727.272727272728</v>
      </c>
      <c r="CW16" s="322">
        <f t="shared" si="130"/>
        <v>22727.272727272728</v>
      </c>
      <c r="CX16" s="322">
        <f t="shared" si="130"/>
        <v>22727.272727272728</v>
      </c>
      <c r="CY16" s="322">
        <f t="shared" si="130"/>
        <v>22727.272727272728</v>
      </c>
      <c r="CZ16" s="322">
        <f t="shared" si="130"/>
        <v>22727.272727272728</v>
      </c>
      <c r="DA16" s="322">
        <f t="shared" si="130"/>
        <v>22727.272727272728</v>
      </c>
      <c r="DB16" s="322">
        <f t="shared" si="130"/>
        <v>22727.272727272728</v>
      </c>
      <c r="DC16" s="322">
        <f t="shared" si="130"/>
        <v>22727.272727272728</v>
      </c>
      <c r="DD16" s="322">
        <f t="shared" si="130"/>
        <v>22727.272727272728</v>
      </c>
      <c r="DE16" s="322">
        <f t="shared" si="130"/>
        <v>22727.272727272728</v>
      </c>
      <c r="DF16" s="322">
        <f t="shared" si="130"/>
        <v>22727.272727272728</v>
      </c>
      <c r="DG16" s="322">
        <f t="shared" si="130"/>
        <v>22727.272727272728</v>
      </c>
      <c r="DH16" s="322">
        <f t="shared" si="130"/>
        <v>22727.272727272728</v>
      </c>
      <c r="DI16" s="322">
        <f t="shared" si="130"/>
        <v>22727.272727272728</v>
      </c>
      <c r="DJ16" s="322">
        <f t="shared" si="130"/>
        <v>22727.272727272728</v>
      </c>
      <c r="DK16" s="322">
        <f t="shared" si="130"/>
        <v>22727.272727272728</v>
      </c>
      <c r="DL16" s="322">
        <f t="shared" si="130"/>
        <v>22727.272727272728</v>
      </c>
      <c r="DM16" s="322">
        <f t="shared" si="130"/>
        <v>22727.272727272728</v>
      </c>
      <c r="DN16" s="322">
        <f t="shared" si="130"/>
        <v>18181.818181818184</v>
      </c>
      <c r="DO16" s="322">
        <f t="shared" si="130"/>
        <v>16363.636363636364</v>
      </c>
      <c r="DP16" s="322">
        <f t="shared" si="130"/>
        <v>16363.636363636364</v>
      </c>
      <c r="DQ16" s="322">
        <f t="shared" si="130"/>
        <v>16363.636363636364</v>
      </c>
      <c r="DR16" s="322">
        <f t="shared" si="130"/>
        <v>16363.636363636364</v>
      </c>
      <c r="DS16" s="322">
        <f t="shared" si="130"/>
        <v>16363.636363636364</v>
      </c>
      <c r="DT16" s="322">
        <f t="shared" si="130"/>
        <v>16363.636363636364</v>
      </c>
      <c r="DU16" s="322">
        <f t="shared" si="130"/>
        <v>16363.636363636364</v>
      </c>
      <c r="DV16" s="322">
        <f t="shared" si="130"/>
        <v>16363.636363636364</v>
      </c>
      <c r="DW16" s="322">
        <f t="shared" si="130"/>
        <v>14545.454545454546</v>
      </c>
      <c r="DX16" s="322">
        <f t="shared" si="130"/>
        <v>14545.454545454546</v>
      </c>
      <c r="DY16" s="322">
        <f t="shared" si="130"/>
        <v>14545.454545454546</v>
      </c>
      <c r="DZ16" s="322">
        <f t="shared" si="130"/>
        <v>14545.454545454546</v>
      </c>
      <c r="EA16" s="322">
        <f t="shared" si="130"/>
        <v>14545.454545454546</v>
      </c>
      <c r="EB16" s="322">
        <f t="shared" si="130"/>
        <v>14545.454545454546</v>
      </c>
      <c r="EC16" s="322">
        <f t="shared" si="130"/>
        <v>14545.454545454546</v>
      </c>
      <c r="ED16" s="322">
        <f t="shared" si="130"/>
        <v>14545.454545454546</v>
      </c>
      <c r="EE16" s="322">
        <f t="shared" si="130"/>
        <v>14545.454545454546</v>
      </c>
      <c r="EF16" s="322">
        <f t="shared" si="130"/>
        <v>14545.454545454546</v>
      </c>
      <c r="EG16" s="322">
        <f t="shared" si="130"/>
        <v>14545.454545454546</v>
      </c>
      <c r="EH16" s="322">
        <f t="shared" si="130"/>
        <v>14545.454545454546</v>
      </c>
      <c r="EI16" s="322">
        <f t="shared" si="130"/>
        <v>14545.454545454546</v>
      </c>
      <c r="EJ16" s="322">
        <f t="shared" si="130"/>
        <v>12727.272727272728</v>
      </c>
      <c r="EK16" s="322">
        <f t="shared" si="130"/>
        <v>12727.272727272728</v>
      </c>
      <c r="EL16" s="322">
        <f t="shared" si="130"/>
        <v>12727.272727272728</v>
      </c>
      <c r="EM16" s="322">
        <f t="shared" si="130"/>
        <v>0</v>
      </c>
      <c r="EN16" s="322">
        <f t="shared" si="130"/>
        <v>0</v>
      </c>
      <c r="EO16" s="322">
        <f t="shared" si="130"/>
        <v>0</v>
      </c>
      <c r="EP16" s="322">
        <f t="shared" ref="EP16:GI16" si="131">SUM(EP6:EP15)</f>
        <v>0</v>
      </c>
      <c r="EQ16" s="322">
        <f t="shared" si="131"/>
        <v>0</v>
      </c>
      <c r="ER16" s="322">
        <f t="shared" si="131"/>
        <v>0</v>
      </c>
      <c r="ES16" s="322">
        <f t="shared" si="131"/>
        <v>0</v>
      </c>
      <c r="ET16" s="322">
        <f t="shared" si="131"/>
        <v>0</v>
      </c>
      <c r="EU16" s="322">
        <f t="shared" si="131"/>
        <v>0</v>
      </c>
      <c r="EV16" s="322">
        <f t="shared" si="131"/>
        <v>0</v>
      </c>
      <c r="EW16" s="322">
        <f t="shared" si="131"/>
        <v>0</v>
      </c>
      <c r="EX16" s="322">
        <f t="shared" si="131"/>
        <v>0</v>
      </c>
      <c r="EY16" s="322">
        <f t="shared" si="131"/>
        <v>0</v>
      </c>
      <c r="EZ16" s="322">
        <f t="shared" si="131"/>
        <v>0</v>
      </c>
      <c r="FA16" s="322">
        <f t="shared" si="131"/>
        <v>0</v>
      </c>
      <c r="FB16" s="322">
        <f t="shared" si="131"/>
        <v>0</v>
      </c>
      <c r="FC16" s="322">
        <f t="shared" si="131"/>
        <v>0</v>
      </c>
      <c r="FD16" s="322">
        <f t="shared" si="131"/>
        <v>0</v>
      </c>
      <c r="FE16" s="322">
        <f t="shared" si="131"/>
        <v>0</v>
      </c>
      <c r="FF16" s="322">
        <f t="shared" si="131"/>
        <v>0</v>
      </c>
      <c r="FG16" s="322">
        <f t="shared" si="131"/>
        <v>0</v>
      </c>
      <c r="FH16" s="322">
        <f t="shared" si="131"/>
        <v>0</v>
      </c>
      <c r="FI16" s="322">
        <f t="shared" si="131"/>
        <v>0</v>
      </c>
      <c r="FJ16" s="322">
        <f t="shared" si="131"/>
        <v>0</v>
      </c>
      <c r="FK16" s="322">
        <f t="shared" si="131"/>
        <v>0</v>
      </c>
      <c r="FL16" s="322">
        <f t="shared" si="131"/>
        <v>0</v>
      </c>
      <c r="FM16" s="322">
        <f t="shared" si="131"/>
        <v>0</v>
      </c>
      <c r="FN16" s="322">
        <f t="shared" si="131"/>
        <v>0</v>
      </c>
      <c r="FO16" s="322">
        <f t="shared" si="131"/>
        <v>0</v>
      </c>
      <c r="FP16" s="322">
        <f t="shared" si="131"/>
        <v>0</v>
      </c>
      <c r="FQ16" s="322">
        <f t="shared" si="131"/>
        <v>0</v>
      </c>
      <c r="FR16" s="322">
        <f t="shared" si="131"/>
        <v>0</v>
      </c>
      <c r="FS16" s="322">
        <f t="shared" si="131"/>
        <v>0</v>
      </c>
      <c r="FT16" s="322">
        <f t="shared" si="131"/>
        <v>0</v>
      </c>
      <c r="FU16" s="322">
        <f t="shared" si="131"/>
        <v>0</v>
      </c>
      <c r="FV16" s="322">
        <f t="shared" si="131"/>
        <v>0</v>
      </c>
      <c r="FW16" s="322">
        <f t="shared" si="131"/>
        <v>0</v>
      </c>
      <c r="FX16" s="322">
        <f t="shared" si="131"/>
        <v>0</v>
      </c>
      <c r="FY16" s="322">
        <f t="shared" si="131"/>
        <v>0</v>
      </c>
      <c r="FZ16" s="322">
        <f t="shared" si="131"/>
        <v>0</v>
      </c>
      <c r="GA16" s="322">
        <f t="shared" si="131"/>
        <v>0</v>
      </c>
      <c r="GB16" s="322">
        <f t="shared" si="131"/>
        <v>0</v>
      </c>
      <c r="GC16" s="322">
        <f t="shared" si="131"/>
        <v>0</v>
      </c>
      <c r="GD16" s="322">
        <f t="shared" si="131"/>
        <v>0</v>
      </c>
      <c r="GE16" s="322">
        <f t="shared" si="131"/>
        <v>0</v>
      </c>
      <c r="GF16" s="322">
        <f t="shared" si="131"/>
        <v>0</v>
      </c>
      <c r="GG16" s="322">
        <f t="shared" si="131"/>
        <v>0</v>
      </c>
      <c r="GH16" s="322">
        <f t="shared" si="131"/>
        <v>0</v>
      </c>
      <c r="GI16" s="322">
        <f t="shared" si="131"/>
        <v>0</v>
      </c>
    </row>
    <row r="17" spans="2:191" ht="15">
      <c r="B17" s="12"/>
      <c r="C17" s="12"/>
      <c r="D17" s="12"/>
      <c r="E17" s="12"/>
      <c r="F17" s="12"/>
      <c r="G17" s="12"/>
      <c r="H17" s="12"/>
      <c r="I17" s="344" t="s">
        <v>497</v>
      </c>
      <c r="J17" s="12">
        <f>J16+F16</f>
        <v>0</v>
      </c>
      <c r="K17" s="232"/>
      <c r="L17" s="232"/>
      <c r="M17" s="327"/>
      <c r="N17" s="232"/>
      <c r="O17" s="232"/>
      <c r="P17" s="232"/>
      <c r="Q17" s="232"/>
      <c r="R17" s="232"/>
      <c r="S17" s="232"/>
      <c r="T17" s="232"/>
      <c r="U17" s="232"/>
      <c r="V17" s="232"/>
      <c r="W17" s="232"/>
      <c r="X17" s="232"/>
      <c r="Y17" s="232"/>
      <c r="Z17" s="232"/>
      <c r="AA17" s="232"/>
      <c r="AB17" s="232"/>
      <c r="AC17" s="232"/>
      <c r="AD17" s="232"/>
      <c r="AE17" s="232"/>
      <c r="AF17" s="232"/>
      <c r="AG17" s="232"/>
      <c r="AH17" s="232"/>
      <c r="AI17" s="232"/>
      <c r="AJ17" s="232"/>
      <c r="AK17" s="232"/>
      <c r="AL17" s="232"/>
      <c r="AM17" s="232"/>
      <c r="AN17" s="232"/>
      <c r="AO17" s="232"/>
      <c r="AP17" s="232"/>
      <c r="AQ17" s="232"/>
      <c r="AR17" s="232"/>
      <c r="AS17" s="232"/>
      <c r="AT17" s="232"/>
      <c r="AU17" s="232"/>
      <c r="AV17" s="232"/>
      <c r="AW17" s="232"/>
      <c r="AX17" s="232"/>
      <c r="AY17" s="232"/>
      <c r="AZ17" s="232"/>
      <c r="BA17" s="232"/>
      <c r="BB17" s="232"/>
      <c r="BC17" s="232"/>
      <c r="BD17" s="232"/>
      <c r="BE17" s="232"/>
      <c r="BF17" s="232"/>
      <c r="BG17" s="232"/>
      <c r="BH17" s="232"/>
      <c r="BI17" s="232"/>
      <c r="BJ17" s="232"/>
      <c r="BK17" s="232"/>
      <c r="BL17" s="232"/>
      <c r="BM17" s="232"/>
      <c r="BN17" s="232"/>
      <c r="BO17" s="232"/>
      <c r="BP17" s="232"/>
      <c r="BQ17" s="232"/>
      <c r="BR17" s="232"/>
      <c r="BS17" s="232"/>
      <c r="BT17" s="232"/>
      <c r="BU17" s="232"/>
      <c r="BV17" s="232"/>
      <c r="BW17" s="232"/>
      <c r="BX17" s="232"/>
      <c r="BY17" s="232"/>
      <c r="BZ17" s="232"/>
      <c r="CA17" s="232"/>
      <c r="CC17" s="232"/>
      <c r="CD17" s="232"/>
      <c r="CE17" s="232"/>
      <c r="CF17" s="232"/>
      <c r="CG17" s="232"/>
      <c r="CH17" s="232"/>
      <c r="CI17" s="232"/>
      <c r="CJ17" s="232"/>
      <c r="CK17" s="232"/>
      <c r="CL17" s="232"/>
      <c r="CM17" s="232"/>
      <c r="CN17" s="232"/>
      <c r="CO17" s="232"/>
      <c r="CP17" s="232"/>
      <c r="CQ17" s="232"/>
      <c r="CR17" s="232"/>
      <c r="CS17" s="232"/>
      <c r="CT17" s="232"/>
      <c r="CU17" s="232"/>
      <c r="CV17" s="232"/>
      <c r="CW17" s="232"/>
      <c r="CX17" s="232"/>
      <c r="CY17" s="232"/>
      <c r="CZ17" s="232"/>
      <c r="DA17" s="232"/>
      <c r="DB17" s="232"/>
      <c r="DC17" s="232"/>
      <c r="DD17" s="232"/>
      <c r="DE17" s="232"/>
      <c r="DF17" s="232"/>
      <c r="DG17" s="232"/>
      <c r="DH17" s="232"/>
      <c r="DI17" s="232"/>
      <c r="DJ17" s="232"/>
      <c r="DK17" s="232"/>
      <c r="DL17" s="232"/>
      <c r="DM17" s="232"/>
      <c r="DN17" s="232"/>
      <c r="DO17" s="232"/>
      <c r="DP17" s="232"/>
      <c r="DQ17" s="232"/>
      <c r="DR17" s="232"/>
      <c r="DS17" s="232"/>
      <c r="DT17" s="232"/>
      <c r="DU17" s="232"/>
      <c r="DV17" s="232"/>
      <c r="DW17" s="232"/>
      <c r="DX17" s="232"/>
      <c r="DY17" s="232"/>
      <c r="DZ17" s="232"/>
      <c r="EA17" s="232"/>
      <c r="EB17" s="232"/>
      <c r="EC17" s="232"/>
      <c r="ED17" s="232"/>
      <c r="EE17" s="232"/>
      <c r="EF17" s="232"/>
      <c r="EG17" s="232"/>
      <c r="EH17" s="232"/>
      <c r="EI17" s="232"/>
      <c r="EJ17" s="232"/>
      <c r="EK17" s="232"/>
      <c r="EL17" s="232"/>
      <c r="EM17" s="232"/>
      <c r="EN17" s="232"/>
      <c r="EO17" s="232"/>
      <c r="EP17" s="232"/>
      <c r="EQ17" s="232"/>
      <c r="ER17" s="232"/>
      <c r="ES17" s="232"/>
      <c r="ET17" s="232"/>
      <c r="EU17" s="232"/>
      <c r="EV17" s="232"/>
      <c r="EW17" s="232"/>
      <c r="EX17" s="232"/>
      <c r="EY17" s="232"/>
      <c r="EZ17" s="232"/>
      <c r="FA17" s="232"/>
      <c r="FB17" s="232"/>
      <c r="FC17" s="232"/>
      <c r="FD17" s="232"/>
      <c r="FE17" s="232"/>
      <c r="FF17" s="232"/>
      <c r="FG17" s="232"/>
      <c r="FH17" s="232"/>
      <c r="FI17" s="232"/>
      <c r="FJ17" s="232"/>
      <c r="FK17" s="232"/>
      <c r="FL17" s="232"/>
      <c r="FM17" s="232"/>
      <c r="FN17" s="232"/>
      <c r="FO17" s="232"/>
      <c r="FP17" s="232"/>
      <c r="FQ17" s="232"/>
      <c r="FR17" s="232"/>
      <c r="FS17" s="232"/>
      <c r="FT17" s="232"/>
      <c r="FU17" s="232"/>
      <c r="FV17" s="232"/>
      <c r="FW17" s="232"/>
      <c r="FX17" s="232"/>
      <c r="FY17" s="232"/>
      <c r="FZ17" s="232"/>
      <c r="GA17" s="232"/>
      <c r="GB17" s="232"/>
      <c r="GC17" s="232"/>
      <c r="GD17" s="232"/>
      <c r="GE17" s="232"/>
      <c r="GF17" s="232"/>
      <c r="GG17" s="232"/>
      <c r="GH17" s="232"/>
      <c r="GI17" s="232"/>
    </row>
    <row r="18" spans="2:191">
      <c r="B18" s="12"/>
      <c r="C18" s="12"/>
      <c r="D18" s="12"/>
      <c r="E18" s="12"/>
      <c r="F18" s="12"/>
      <c r="G18" s="12"/>
      <c r="H18" s="12"/>
      <c r="I18" s="12"/>
      <c r="J18" s="12"/>
      <c r="K18" s="231"/>
      <c r="L18" s="231"/>
      <c r="M18" s="231"/>
      <c r="N18" s="231"/>
      <c r="O18" s="231"/>
      <c r="P18" s="231"/>
      <c r="Q18" s="231"/>
      <c r="R18" s="231"/>
      <c r="S18" s="231"/>
      <c r="T18" s="231"/>
      <c r="U18" s="231"/>
      <c r="V18" s="231"/>
      <c r="W18" s="231"/>
      <c r="X18" s="231"/>
      <c r="Y18" s="231"/>
      <c r="Z18" s="231"/>
      <c r="AA18" s="231"/>
      <c r="AB18" s="231"/>
      <c r="AC18" s="231"/>
      <c r="AD18" s="231"/>
      <c r="AE18" s="231"/>
      <c r="AF18" s="231"/>
      <c r="AG18" s="231"/>
      <c r="AH18" s="231"/>
      <c r="AI18" s="231"/>
      <c r="AJ18" s="231"/>
      <c r="AK18" s="231"/>
      <c r="AL18" s="231"/>
      <c r="AM18" s="231"/>
      <c r="AN18" s="231"/>
      <c r="AO18" s="231"/>
      <c r="AP18" s="231"/>
      <c r="AQ18" s="231"/>
      <c r="AR18" s="231"/>
      <c r="AS18" s="231"/>
      <c r="AT18" s="231"/>
      <c r="AU18" s="231"/>
      <c r="AV18" s="231"/>
      <c r="AW18" s="231"/>
      <c r="AX18" s="231"/>
      <c r="AY18" s="231"/>
      <c r="AZ18" s="231"/>
      <c r="BA18" s="231"/>
      <c r="BB18" s="231"/>
      <c r="BC18" s="231"/>
      <c r="BD18" s="231"/>
      <c r="BE18" s="231"/>
      <c r="BF18" s="231"/>
      <c r="BG18" s="231"/>
      <c r="BH18" s="231"/>
      <c r="BI18" s="231"/>
      <c r="BJ18" s="231"/>
      <c r="BK18" s="231"/>
      <c r="BL18" s="231"/>
      <c r="BM18" s="231"/>
      <c r="BN18" s="231"/>
      <c r="BO18" s="231"/>
      <c r="BP18" s="231"/>
      <c r="BQ18" s="231"/>
      <c r="BR18" s="231"/>
      <c r="BS18" s="231"/>
      <c r="BT18" s="231"/>
      <c r="BU18" s="231"/>
      <c r="BV18" s="231"/>
      <c r="BW18" s="231"/>
      <c r="BX18" s="231"/>
      <c r="BY18" s="231"/>
      <c r="BZ18" s="231"/>
      <c r="CA18" s="231"/>
      <c r="CC18" s="231"/>
      <c r="CD18" s="231"/>
      <c r="CE18" s="231"/>
      <c r="CF18" s="231"/>
      <c r="CG18" s="231"/>
      <c r="CH18" s="231"/>
      <c r="CI18" s="231"/>
      <c r="CJ18" s="231"/>
      <c r="CK18" s="231"/>
      <c r="CL18" s="231"/>
      <c r="CM18" s="231"/>
      <c r="CN18" s="231"/>
      <c r="CO18" s="231"/>
      <c r="CP18" s="231"/>
      <c r="CQ18" s="231"/>
      <c r="CR18" s="231"/>
      <c r="CS18" s="231"/>
      <c r="CT18" s="231"/>
      <c r="CU18" s="231"/>
      <c r="CV18" s="231"/>
      <c r="CW18" s="231"/>
      <c r="CX18" s="231"/>
      <c r="CY18" s="231"/>
      <c r="CZ18" s="231"/>
      <c r="DA18" s="231"/>
      <c r="DB18" s="231"/>
      <c r="DC18" s="231"/>
      <c r="DD18" s="231"/>
      <c r="DE18" s="231"/>
      <c r="DF18" s="231"/>
      <c r="DG18" s="231"/>
      <c r="DH18" s="231"/>
      <c r="DI18" s="231"/>
      <c r="DJ18" s="231"/>
      <c r="DK18" s="231"/>
      <c r="DL18" s="231"/>
      <c r="DM18" s="231"/>
      <c r="DN18" s="231"/>
      <c r="DO18" s="231"/>
      <c r="DP18" s="231"/>
      <c r="DQ18" s="231"/>
      <c r="DR18" s="231"/>
      <c r="DS18" s="231"/>
      <c r="DT18" s="231"/>
      <c r="DU18" s="231"/>
      <c r="DV18" s="231"/>
      <c r="DW18" s="231"/>
      <c r="DX18" s="231"/>
      <c r="DY18" s="231"/>
      <c r="DZ18" s="231"/>
      <c r="EA18" s="231"/>
      <c r="EB18" s="231"/>
      <c r="EC18" s="231"/>
      <c r="ED18" s="231"/>
      <c r="EE18" s="231"/>
      <c r="EF18" s="231"/>
      <c r="EG18" s="231"/>
      <c r="EH18" s="231"/>
      <c r="EI18" s="231"/>
      <c r="EJ18" s="231"/>
      <c r="EK18" s="231"/>
      <c r="EL18" s="231"/>
      <c r="EM18" s="231"/>
      <c r="EN18" s="231"/>
      <c r="EO18" s="231"/>
      <c r="EP18" s="231"/>
      <c r="EQ18" s="231"/>
      <c r="ER18" s="231"/>
      <c r="ES18" s="231"/>
      <c r="ET18" s="231"/>
      <c r="EU18" s="231"/>
      <c r="EV18" s="231"/>
      <c r="EW18" s="231"/>
      <c r="EX18" s="231"/>
      <c r="EY18" s="231"/>
      <c r="EZ18" s="231"/>
      <c r="FA18" s="231"/>
      <c r="FB18" s="231"/>
      <c r="FC18" s="231"/>
      <c r="FD18" s="231"/>
      <c r="FE18" s="231"/>
      <c r="FF18" s="231"/>
      <c r="FG18" s="231"/>
      <c r="FH18" s="231"/>
      <c r="FI18" s="231"/>
      <c r="FJ18" s="231"/>
      <c r="FK18" s="231"/>
      <c r="FL18" s="231"/>
      <c r="FM18" s="231"/>
      <c r="FN18" s="231"/>
      <c r="FO18" s="231"/>
      <c r="FP18" s="231"/>
      <c r="FQ18" s="231"/>
      <c r="FR18" s="231"/>
      <c r="FS18" s="231"/>
      <c r="FT18" s="231"/>
      <c r="FU18" s="231"/>
      <c r="FV18" s="231"/>
      <c r="FW18" s="231"/>
      <c r="FX18" s="231"/>
      <c r="FY18" s="231"/>
      <c r="FZ18" s="231"/>
      <c r="GA18" s="231"/>
      <c r="GB18" s="231"/>
      <c r="GC18" s="231"/>
      <c r="GD18" s="231"/>
      <c r="GE18" s="231"/>
      <c r="GF18" s="231"/>
      <c r="GG18" s="231"/>
      <c r="GH18" s="231"/>
      <c r="GI18" s="231"/>
    </row>
    <row r="19" spans="2:191">
      <c r="B19" s="12"/>
      <c r="C19" s="12"/>
      <c r="D19" s="12"/>
      <c r="E19" s="12"/>
      <c r="F19" s="12"/>
      <c r="G19" s="12"/>
      <c r="H19" s="12"/>
      <c r="I19" s="12"/>
      <c r="J19" s="12"/>
      <c r="K19" s="231"/>
      <c r="L19" s="231"/>
      <c r="M19" s="231"/>
      <c r="N19" s="231"/>
      <c r="O19" s="231"/>
      <c r="P19" s="231"/>
      <c r="Q19" s="231"/>
      <c r="R19" s="231"/>
      <c r="S19" s="231"/>
      <c r="T19" s="231"/>
      <c r="U19" s="231"/>
      <c r="V19" s="231"/>
      <c r="W19" s="231"/>
      <c r="X19" s="231"/>
      <c r="Y19" s="231"/>
      <c r="Z19" s="231"/>
      <c r="AA19" s="231"/>
      <c r="AB19" s="231"/>
      <c r="AC19" s="231"/>
      <c r="AD19" s="231"/>
      <c r="AE19" s="231"/>
      <c r="AF19" s="231"/>
      <c r="AG19" s="231"/>
      <c r="AH19" s="231"/>
      <c r="AI19" s="231"/>
      <c r="AJ19" s="231"/>
      <c r="AK19" s="231"/>
      <c r="AL19" s="231"/>
      <c r="AM19" s="231"/>
      <c r="AN19" s="231"/>
      <c r="AO19" s="231"/>
      <c r="AP19" s="231"/>
      <c r="AQ19" s="231"/>
      <c r="AR19" s="231"/>
      <c r="AS19" s="231"/>
      <c r="AT19" s="231"/>
      <c r="AU19" s="231"/>
      <c r="AV19" s="231"/>
      <c r="AW19" s="231"/>
      <c r="AX19" s="231"/>
      <c r="AY19" s="231"/>
      <c r="AZ19" s="231"/>
      <c r="BA19" s="231"/>
      <c r="BB19" s="231"/>
      <c r="BC19" s="231"/>
      <c r="BD19" s="231"/>
      <c r="BE19" s="231"/>
      <c r="BF19" s="231"/>
      <c r="BG19" s="231"/>
      <c r="BH19" s="231"/>
      <c r="BI19" s="231"/>
      <c r="BJ19" s="231"/>
      <c r="BK19" s="231"/>
      <c r="BL19" s="231"/>
      <c r="BM19" s="231"/>
      <c r="BN19" s="231"/>
      <c r="BO19" s="231"/>
      <c r="BP19" s="231"/>
      <c r="BQ19" s="231"/>
      <c r="BR19" s="231"/>
      <c r="BS19" s="231"/>
      <c r="BT19" s="231"/>
      <c r="BU19" s="231"/>
      <c r="BV19" s="231"/>
      <c r="BW19" s="231"/>
      <c r="BX19" s="231"/>
      <c r="BY19" s="231"/>
      <c r="BZ19" s="231"/>
      <c r="CA19" s="231"/>
      <c r="CC19" s="231"/>
      <c r="CD19" s="231"/>
      <c r="CE19" s="231"/>
      <c r="CF19" s="231"/>
      <c r="CG19" s="231"/>
      <c r="CH19" s="231"/>
      <c r="CI19" s="231"/>
      <c r="CJ19" s="231"/>
      <c r="CK19" s="231"/>
      <c r="CL19" s="231"/>
      <c r="CM19" s="231"/>
      <c r="CN19" s="231"/>
      <c r="CO19" s="231"/>
      <c r="CP19" s="231"/>
      <c r="CQ19" s="231"/>
      <c r="CR19" s="231"/>
      <c r="CS19" s="231"/>
      <c r="CT19" s="231"/>
      <c r="CU19" s="231"/>
      <c r="CV19" s="231"/>
      <c r="CW19" s="231"/>
      <c r="CX19" s="231"/>
      <c r="CY19" s="231"/>
      <c r="CZ19" s="231"/>
      <c r="DA19" s="231"/>
      <c r="DB19" s="231"/>
      <c r="DC19" s="231"/>
      <c r="DD19" s="231"/>
      <c r="DE19" s="231"/>
      <c r="DF19" s="231"/>
      <c r="DG19" s="231"/>
      <c r="DH19" s="231"/>
      <c r="DI19" s="231"/>
      <c r="DJ19" s="231"/>
      <c r="DK19" s="231"/>
      <c r="DL19" s="231"/>
      <c r="DM19" s="231"/>
      <c r="DN19" s="231"/>
      <c r="DO19" s="231"/>
      <c r="DP19" s="231"/>
      <c r="DQ19" s="231"/>
      <c r="DR19" s="231"/>
      <c r="DS19" s="231"/>
      <c r="DT19" s="231"/>
      <c r="DU19" s="231"/>
      <c r="DV19" s="231"/>
      <c r="DW19" s="231"/>
      <c r="DX19" s="231"/>
      <c r="DY19" s="231"/>
      <c r="DZ19" s="231"/>
      <c r="EA19" s="231"/>
      <c r="EB19" s="231"/>
      <c r="EC19" s="231"/>
      <c r="ED19" s="231"/>
      <c r="EE19" s="231"/>
      <c r="EF19" s="231"/>
      <c r="EG19" s="231"/>
      <c r="EH19" s="231"/>
      <c r="EI19" s="231"/>
      <c r="EJ19" s="231"/>
      <c r="EK19" s="231"/>
      <c r="EL19" s="231"/>
      <c r="EM19" s="231"/>
      <c r="EN19" s="231"/>
      <c r="EO19" s="231"/>
      <c r="EP19" s="231"/>
      <c r="EQ19" s="231"/>
      <c r="ER19" s="231"/>
      <c r="ES19" s="231"/>
      <c r="ET19" s="231"/>
      <c r="EU19" s="231"/>
      <c r="EV19" s="231"/>
      <c r="EW19" s="231"/>
      <c r="EX19" s="231"/>
      <c r="EY19" s="231"/>
      <c r="EZ19" s="231"/>
      <c r="FA19" s="231"/>
      <c r="FB19" s="231"/>
      <c r="FC19" s="231"/>
      <c r="FD19" s="231"/>
      <c r="FE19" s="231"/>
      <c r="FF19" s="231"/>
      <c r="FG19" s="231"/>
      <c r="FH19" s="231"/>
      <c r="FI19" s="231"/>
      <c r="FJ19" s="231"/>
      <c r="FK19" s="231"/>
      <c r="FL19" s="231"/>
      <c r="FM19" s="231"/>
      <c r="FN19" s="231"/>
      <c r="FO19" s="231"/>
      <c r="FP19" s="231"/>
      <c r="FQ19" s="231"/>
      <c r="FR19" s="231"/>
      <c r="FS19" s="231"/>
      <c r="FT19" s="231"/>
      <c r="FU19" s="231"/>
      <c r="FV19" s="231"/>
      <c r="FW19" s="231"/>
      <c r="FX19" s="231"/>
      <c r="FY19" s="231"/>
      <c r="FZ19" s="231"/>
      <c r="GA19" s="231"/>
      <c r="GB19" s="231"/>
      <c r="GC19" s="231"/>
      <c r="GD19" s="231"/>
      <c r="GE19" s="231"/>
      <c r="GF19" s="231"/>
      <c r="GG19" s="231"/>
      <c r="GH19" s="231"/>
      <c r="GI19" s="231"/>
    </row>
    <row r="23" spans="2:191">
      <c r="B23" s="362" t="s">
        <v>608</v>
      </c>
    </row>
    <row r="68" spans="10:79">
      <c r="J68" s="13" t="s">
        <v>498</v>
      </c>
      <c r="L68" s="13">
        <f t="shared" ref="L68:AQ68" si="132">-L16</f>
        <v>0</v>
      </c>
      <c r="M68" s="13">
        <f t="shared" si="132"/>
        <v>0</v>
      </c>
      <c r="N68" s="13">
        <f t="shared" si="132"/>
        <v>0</v>
      </c>
      <c r="O68" s="13">
        <f t="shared" si="132"/>
        <v>1100000</v>
      </c>
      <c r="P68" s="13">
        <f t="shared" si="132"/>
        <v>0</v>
      </c>
      <c r="Q68" s="13">
        <f t="shared" si="132"/>
        <v>0</v>
      </c>
      <c r="R68" s="13">
        <f t="shared" si="132"/>
        <v>0</v>
      </c>
      <c r="S68" s="13">
        <f t="shared" si="132"/>
        <v>0</v>
      </c>
      <c r="T68" s="13">
        <f t="shared" si="132"/>
        <v>0</v>
      </c>
      <c r="U68" s="13">
        <f t="shared" si="132"/>
        <v>0</v>
      </c>
      <c r="V68" s="13">
        <f t="shared" si="132"/>
        <v>0</v>
      </c>
      <c r="W68" s="13">
        <f t="shared" si="132"/>
        <v>0</v>
      </c>
      <c r="X68" s="13">
        <f t="shared" si="132"/>
        <v>0</v>
      </c>
      <c r="Y68" s="13">
        <f t="shared" si="132"/>
        <v>0</v>
      </c>
      <c r="Z68" s="13">
        <f t="shared" si="132"/>
        <v>0</v>
      </c>
      <c r="AA68" s="13">
        <f t="shared" si="132"/>
        <v>0</v>
      </c>
      <c r="AB68" s="13">
        <f t="shared" si="132"/>
        <v>0</v>
      </c>
      <c r="AC68" s="13">
        <f t="shared" si="132"/>
        <v>100000</v>
      </c>
      <c r="AD68" s="13">
        <f t="shared" si="132"/>
        <v>100000</v>
      </c>
      <c r="AE68" s="13">
        <f t="shared" si="132"/>
        <v>500000</v>
      </c>
      <c r="AF68" s="13">
        <f t="shared" si="132"/>
        <v>0</v>
      </c>
      <c r="AG68" s="13">
        <f t="shared" si="132"/>
        <v>0</v>
      </c>
      <c r="AH68" s="13">
        <f t="shared" si="132"/>
        <v>0</v>
      </c>
      <c r="AI68" s="13">
        <f t="shared" si="132"/>
        <v>0</v>
      </c>
      <c r="AJ68" s="13">
        <f t="shared" si="132"/>
        <v>0</v>
      </c>
      <c r="AK68" s="13">
        <f t="shared" si="132"/>
        <v>0</v>
      </c>
      <c r="AL68" s="13">
        <f t="shared" si="132"/>
        <v>0</v>
      </c>
      <c r="AM68" s="13">
        <f t="shared" si="132"/>
        <v>0</v>
      </c>
      <c r="AN68" s="13">
        <f t="shared" si="132"/>
        <v>0</v>
      </c>
      <c r="AO68" s="13">
        <f t="shared" si="132"/>
        <v>0</v>
      </c>
      <c r="AP68" s="13">
        <f t="shared" si="132"/>
        <v>0</v>
      </c>
      <c r="AQ68" s="13">
        <f t="shared" si="132"/>
        <v>0</v>
      </c>
      <c r="AR68" s="13">
        <f t="shared" ref="AR68:CA68" si="133">-AR16</f>
        <v>0</v>
      </c>
      <c r="AS68" s="13">
        <f t="shared" si="133"/>
        <v>0</v>
      </c>
      <c r="AT68" s="13">
        <f t="shared" si="133"/>
        <v>0</v>
      </c>
      <c r="AU68" s="13">
        <f t="shared" si="133"/>
        <v>0</v>
      </c>
      <c r="AV68" s="13">
        <f t="shared" si="133"/>
        <v>0</v>
      </c>
      <c r="AW68" s="13">
        <f t="shared" si="133"/>
        <v>250000</v>
      </c>
      <c r="AX68" s="13">
        <f t="shared" si="133"/>
        <v>100000</v>
      </c>
      <c r="AY68" s="13">
        <f t="shared" si="133"/>
        <v>0</v>
      </c>
      <c r="AZ68" s="13">
        <f t="shared" si="133"/>
        <v>0</v>
      </c>
      <c r="BA68" s="13">
        <f t="shared" si="133"/>
        <v>0</v>
      </c>
      <c r="BB68" s="13">
        <f t="shared" si="133"/>
        <v>0</v>
      </c>
      <c r="BC68" s="13">
        <f t="shared" si="133"/>
        <v>0</v>
      </c>
      <c r="BD68" s="13">
        <f t="shared" si="133"/>
        <v>0</v>
      </c>
      <c r="BE68" s="13">
        <f t="shared" si="133"/>
        <v>0</v>
      </c>
      <c r="BF68" s="13">
        <f t="shared" si="133"/>
        <v>100000</v>
      </c>
      <c r="BG68" s="13">
        <f t="shared" si="133"/>
        <v>0</v>
      </c>
      <c r="BH68" s="13">
        <f t="shared" si="133"/>
        <v>0</v>
      </c>
      <c r="BI68" s="13">
        <f t="shared" si="133"/>
        <v>0</v>
      </c>
      <c r="BJ68" s="13">
        <f t="shared" si="133"/>
        <v>0</v>
      </c>
      <c r="BK68" s="13">
        <f t="shared" si="133"/>
        <v>0</v>
      </c>
      <c r="BL68" s="13">
        <f t="shared" si="133"/>
        <v>0</v>
      </c>
      <c r="BM68" s="13">
        <f t="shared" si="133"/>
        <v>0</v>
      </c>
      <c r="BN68" s="13">
        <f t="shared" si="133"/>
        <v>0</v>
      </c>
      <c r="BO68" s="13">
        <f t="shared" si="133"/>
        <v>0</v>
      </c>
      <c r="BP68" s="13">
        <f t="shared" si="133"/>
        <v>0</v>
      </c>
      <c r="BQ68" s="13">
        <f t="shared" si="133"/>
        <v>0</v>
      </c>
      <c r="BR68" s="13">
        <f t="shared" si="133"/>
        <v>0</v>
      </c>
      <c r="BS68" s="13">
        <f t="shared" si="133"/>
        <v>100000</v>
      </c>
      <c r="BT68" s="13">
        <f t="shared" si="133"/>
        <v>0</v>
      </c>
      <c r="BU68" s="13">
        <f t="shared" si="133"/>
        <v>0</v>
      </c>
      <c r="BV68" s="13">
        <f t="shared" si="133"/>
        <v>700000</v>
      </c>
      <c r="BW68" s="13">
        <f t="shared" si="133"/>
        <v>0</v>
      </c>
      <c r="BX68" s="13">
        <f t="shared" si="133"/>
        <v>0</v>
      </c>
      <c r="BY68" s="13">
        <f t="shared" si="133"/>
        <v>0</v>
      </c>
      <c r="BZ68" s="13">
        <f t="shared" si="133"/>
        <v>0</v>
      </c>
      <c r="CA68" s="13">
        <f t="shared" si="133"/>
        <v>0</v>
      </c>
    </row>
  </sheetData>
  <sortState xmlns:xlrd2="http://schemas.microsoft.com/office/spreadsheetml/2017/richdata2" ref="B6:I15">
    <sortCondition ref="C6:C15"/>
  </sortState>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E750C-DCDB-45E9-9CEA-96A16A97330B}">
  <sheetPr codeName="Sheet43">
    <tabColor theme="9"/>
  </sheetPr>
  <dimension ref="A1:BV44"/>
  <sheetViews>
    <sheetView showGridLines="0" zoomScale="90" zoomScaleNormal="90" workbookViewId="0">
      <pane xSplit="9" ySplit="5" topLeftCell="J6" activePane="bottomRight" state="frozen"/>
      <selection pane="topRight" activeCell="J1" sqref="J1"/>
      <selection pane="bottomLeft" activeCell="A6" sqref="A6"/>
      <selection pane="bottomRight" activeCell="B7" sqref="B7:B8"/>
    </sheetView>
  </sheetViews>
  <sheetFormatPr defaultRowHeight="15" outlineLevelRow="1"/>
  <cols>
    <col min="1" max="1" width="20.28515625" style="3" customWidth="1"/>
    <col min="2" max="2" width="17.5703125" style="3" customWidth="1"/>
    <col min="3" max="3" width="15.5703125" style="3" customWidth="1"/>
    <col min="4" max="4" width="14.85546875" style="3" customWidth="1"/>
    <col min="5" max="5" width="17.140625" style="3" customWidth="1"/>
    <col min="6" max="6" width="5.85546875" style="3" customWidth="1"/>
    <col min="7" max="7" width="11.7109375" style="3" bestFit="1" customWidth="1"/>
    <col min="8" max="8" width="14.5703125" style="3" bestFit="1" customWidth="1"/>
    <col min="9" max="9" width="15" style="3" bestFit="1" customWidth="1"/>
    <col min="10" max="10" width="8" style="3" customWidth="1"/>
    <col min="11" max="11" width="9.85546875" style="3" customWidth="1"/>
    <col min="12" max="18" width="8" style="3" customWidth="1"/>
    <col min="19" max="19" width="10.28515625" style="3" customWidth="1"/>
    <col min="20" max="74" width="8" style="3" customWidth="1"/>
    <col min="75" max="257" width="8.7109375" style="3"/>
    <col min="258" max="258" width="37.5703125" style="3" customWidth="1"/>
    <col min="259" max="259" width="12.5703125" style="3" customWidth="1"/>
    <col min="260" max="268" width="13.42578125" style="3" customWidth="1"/>
    <col min="269" max="513" width="8.7109375" style="3"/>
    <col min="514" max="514" width="37.5703125" style="3" customWidth="1"/>
    <col min="515" max="515" width="12.5703125" style="3" customWidth="1"/>
    <col min="516" max="524" width="13.42578125" style="3" customWidth="1"/>
    <col min="525" max="769" width="8.7109375" style="3"/>
    <col min="770" max="770" width="37.5703125" style="3" customWidth="1"/>
    <col min="771" max="771" width="12.5703125" style="3" customWidth="1"/>
    <col min="772" max="780" width="13.42578125" style="3" customWidth="1"/>
    <col min="781" max="1025" width="8.7109375" style="3"/>
    <col min="1026" max="1026" width="37.5703125" style="3" customWidth="1"/>
    <col min="1027" max="1027" width="12.5703125" style="3" customWidth="1"/>
    <col min="1028" max="1036" width="13.42578125" style="3" customWidth="1"/>
    <col min="1037" max="1281" width="8.7109375" style="3"/>
    <col min="1282" max="1282" width="37.5703125" style="3" customWidth="1"/>
    <col min="1283" max="1283" width="12.5703125" style="3" customWidth="1"/>
    <col min="1284" max="1292" width="13.42578125" style="3" customWidth="1"/>
    <col min="1293" max="1537" width="8.7109375" style="3"/>
    <col min="1538" max="1538" width="37.5703125" style="3" customWidth="1"/>
    <col min="1539" max="1539" width="12.5703125" style="3" customWidth="1"/>
    <col min="1540" max="1548" width="13.42578125" style="3" customWidth="1"/>
    <col min="1549" max="1793" width="8.7109375" style="3"/>
    <col min="1794" max="1794" width="37.5703125" style="3" customWidth="1"/>
    <col min="1795" max="1795" width="12.5703125" style="3" customWidth="1"/>
    <col min="1796" max="1804" width="13.42578125" style="3" customWidth="1"/>
    <col min="1805" max="2049" width="8.7109375" style="3"/>
    <col min="2050" max="2050" width="37.5703125" style="3" customWidth="1"/>
    <col min="2051" max="2051" width="12.5703125" style="3" customWidth="1"/>
    <col min="2052" max="2060" width="13.42578125" style="3" customWidth="1"/>
    <col min="2061" max="2305" width="8.7109375" style="3"/>
    <col min="2306" max="2306" width="37.5703125" style="3" customWidth="1"/>
    <col min="2307" max="2307" width="12.5703125" style="3" customWidth="1"/>
    <col min="2308" max="2316" width="13.42578125" style="3" customWidth="1"/>
    <col min="2317" max="2561" width="8.7109375" style="3"/>
    <col min="2562" max="2562" width="37.5703125" style="3" customWidth="1"/>
    <col min="2563" max="2563" width="12.5703125" style="3" customWidth="1"/>
    <col min="2564" max="2572" width="13.42578125" style="3" customWidth="1"/>
    <col min="2573" max="2817" width="8.7109375" style="3"/>
    <col min="2818" max="2818" width="37.5703125" style="3" customWidth="1"/>
    <col min="2819" max="2819" width="12.5703125" style="3" customWidth="1"/>
    <col min="2820" max="2828" width="13.42578125" style="3" customWidth="1"/>
    <col min="2829" max="3073" width="8.7109375" style="3"/>
    <col min="3074" max="3074" width="37.5703125" style="3" customWidth="1"/>
    <col min="3075" max="3075" width="12.5703125" style="3" customWidth="1"/>
    <col min="3076" max="3084" width="13.42578125" style="3" customWidth="1"/>
    <col min="3085" max="3329" width="8.7109375" style="3"/>
    <col min="3330" max="3330" width="37.5703125" style="3" customWidth="1"/>
    <col min="3331" max="3331" width="12.5703125" style="3" customWidth="1"/>
    <col min="3332" max="3340" width="13.42578125" style="3" customWidth="1"/>
    <col min="3341" max="3585" width="8.7109375" style="3"/>
    <col min="3586" max="3586" width="37.5703125" style="3" customWidth="1"/>
    <col min="3587" max="3587" width="12.5703125" style="3" customWidth="1"/>
    <col min="3588" max="3596" width="13.42578125" style="3" customWidth="1"/>
    <col min="3597" max="3841" width="8.7109375" style="3"/>
    <col min="3842" max="3842" width="37.5703125" style="3" customWidth="1"/>
    <col min="3843" max="3843" width="12.5703125" style="3" customWidth="1"/>
    <col min="3844" max="3852" width="13.42578125" style="3" customWidth="1"/>
    <col min="3853" max="4097" width="8.7109375" style="3"/>
    <col min="4098" max="4098" width="37.5703125" style="3" customWidth="1"/>
    <col min="4099" max="4099" width="12.5703125" style="3" customWidth="1"/>
    <col min="4100" max="4108" width="13.42578125" style="3" customWidth="1"/>
    <col min="4109" max="4353" width="8.7109375" style="3"/>
    <col min="4354" max="4354" width="37.5703125" style="3" customWidth="1"/>
    <col min="4355" max="4355" width="12.5703125" style="3" customWidth="1"/>
    <col min="4356" max="4364" width="13.42578125" style="3" customWidth="1"/>
    <col min="4365" max="4609" width="8.7109375" style="3"/>
    <col min="4610" max="4610" width="37.5703125" style="3" customWidth="1"/>
    <col min="4611" max="4611" width="12.5703125" style="3" customWidth="1"/>
    <col min="4612" max="4620" width="13.42578125" style="3" customWidth="1"/>
    <col min="4621" max="4865" width="8.7109375" style="3"/>
    <col min="4866" max="4866" width="37.5703125" style="3" customWidth="1"/>
    <col min="4867" max="4867" width="12.5703125" style="3" customWidth="1"/>
    <col min="4868" max="4876" width="13.42578125" style="3" customWidth="1"/>
    <col min="4877" max="5121" width="8.7109375" style="3"/>
    <col min="5122" max="5122" width="37.5703125" style="3" customWidth="1"/>
    <col min="5123" max="5123" width="12.5703125" style="3" customWidth="1"/>
    <col min="5124" max="5132" width="13.42578125" style="3" customWidth="1"/>
    <col min="5133" max="5377" width="8.7109375" style="3"/>
    <col min="5378" max="5378" width="37.5703125" style="3" customWidth="1"/>
    <col min="5379" max="5379" width="12.5703125" style="3" customWidth="1"/>
    <col min="5380" max="5388" width="13.42578125" style="3" customWidth="1"/>
    <col min="5389" max="5633" width="8.7109375" style="3"/>
    <col min="5634" max="5634" width="37.5703125" style="3" customWidth="1"/>
    <col min="5635" max="5635" width="12.5703125" style="3" customWidth="1"/>
    <col min="5636" max="5644" width="13.42578125" style="3" customWidth="1"/>
    <col min="5645" max="5889" width="8.7109375" style="3"/>
    <col min="5890" max="5890" width="37.5703125" style="3" customWidth="1"/>
    <col min="5891" max="5891" width="12.5703125" style="3" customWidth="1"/>
    <col min="5892" max="5900" width="13.42578125" style="3" customWidth="1"/>
    <col min="5901" max="6145" width="8.7109375" style="3"/>
    <col min="6146" max="6146" width="37.5703125" style="3" customWidth="1"/>
    <col min="6147" max="6147" width="12.5703125" style="3" customWidth="1"/>
    <col min="6148" max="6156" width="13.42578125" style="3" customWidth="1"/>
    <col min="6157" max="6401" width="8.7109375" style="3"/>
    <col min="6402" max="6402" width="37.5703125" style="3" customWidth="1"/>
    <col min="6403" max="6403" width="12.5703125" style="3" customWidth="1"/>
    <col min="6404" max="6412" width="13.42578125" style="3" customWidth="1"/>
    <col min="6413" max="6657" width="8.7109375" style="3"/>
    <col min="6658" max="6658" width="37.5703125" style="3" customWidth="1"/>
    <col min="6659" max="6659" width="12.5703125" style="3" customWidth="1"/>
    <col min="6660" max="6668" width="13.42578125" style="3" customWidth="1"/>
    <col min="6669" max="6913" width="8.7109375" style="3"/>
    <col min="6914" max="6914" width="37.5703125" style="3" customWidth="1"/>
    <col min="6915" max="6915" width="12.5703125" style="3" customWidth="1"/>
    <col min="6916" max="6924" width="13.42578125" style="3" customWidth="1"/>
    <col min="6925" max="7169" width="8.7109375" style="3"/>
    <col min="7170" max="7170" width="37.5703125" style="3" customWidth="1"/>
    <col min="7171" max="7171" width="12.5703125" style="3" customWidth="1"/>
    <col min="7172" max="7180" width="13.42578125" style="3" customWidth="1"/>
    <col min="7181" max="7425" width="8.7109375" style="3"/>
    <col min="7426" max="7426" width="37.5703125" style="3" customWidth="1"/>
    <col min="7427" max="7427" width="12.5703125" style="3" customWidth="1"/>
    <col min="7428" max="7436" width="13.42578125" style="3" customWidth="1"/>
    <col min="7437" max="7681" width="8.7109375" style="3"/>
    <col min="7682" max="7682" width="37.5703125" style="3" customWidth="1"/>
    <col min="7683" max="7683" width="12.5703125" style="3" customWidth="1"/>
    <col min="7684" max="7692" width="13.42578125" style="3" customWidth="1"/>
    <col min="7693" max="7937" width="8.7109375" style="3"/>
    <col min="7938" max="7938" width="37.5703125" style="3" customWidth="1"/>
    <col min="7939" max="7939" width="12.5703125" style="3" customWidth="1"/>
    <col min="7940" max="7948" width="13.42578125" style="3" customWidth="1"/>
    <col min="7949" max="8193" width="8.7109375" style="3"/>
    <col min="8194" max="8194" width="37.5703125" style="3" customWidth="1"/>
    <col min="8195" max="8195" width="12.5703125" style="3" customWidth="1"/>
    <col min="8196" max="8204" width="13.42578125" style="3" customWidth="1"/>
    <col min="8205" max="8449" width="8.7109375" style="3"/>
    <col min="8450" max="8450" width="37.5703125" style="3" customWidth="1"/>
    <col min="8451" max="8451" width="12.5703125" style="3" customWidth="1"/>
    <col min="8452" max="8460" width="13.42578125" style="3" customWidth="1"/>
    <col min="8461" max="8705" width="8.7109375" style="3"/>
    <col min="8706" max="8706" width="37.5703125" style="3" customWidth="1"/>
    <col min="8707" max="8707" width="12.5703125" style="3" customWidth="1"/>
    <col min="8708" max="8716" width="13.42578125" style="3" customWidth="1"/>
    <col min="8717" max="8961" width="8.7109375" style="3"/>
    <col min="8962" max="8962" width="37.5703125" style="3" customWidth="1"/>
    <col min="8963" max="8963" width="12.5703125" style="3" customWidth="1"/>
    <col min="8964" max="8972" width="13.42578125" style="3" customWidth="1"/>
    <col min="8973" max="9217" width="8.7109375" style="3"/>
    <col min="9218" max="9218" width="37.5703125" style="3" customWidth="1"/>
    <col min="9219" max="9219" width="12.5703125" style="3" customWidth="1"/>
    <col min="9220" max="9228" width="13.42578125" style="3" customWidth="1"/>
    <col min="9229" max="9473" width="8.7109375" style="3"/>
    <col min="9474" max="9474" width="37.5703125" style="3" customWidth="1"/>
    <col min="9475" max="9475" width="12.5703125" style="3" customWidth="1"/>
    <col min="9476" max="9484" width="13.42578125" style="3" customWidth="1"/>
    <col min="9485" max="9729" width="8.7109375" style="3"/>
    <col min="9730" max="9730" width="37.5703125" style="3" customWidth="1"/>
    <col min="9731" max="9731" width="12.5703125" style="3" customWidth="1"/>
    <col min="9732" max="9740" width="13.42578125" style="3" customWidth="1"/>
    <col min="9741" max="9985" width="8.7109375" style="3"/>
    <col min="9986" max="9986" width="37.5703125" style="3" customWidth="1"/>
    <col min="9987" max="9987" width="12.5703125" style="3" customWidth="1"/>
    <col min="9988" max="9996" width="13.42578125" style="3" customWidth="1"/>
    <col min="9997" max="10241" width="8.7109375" style="3"/>
    <col min="10242" max="10242" width="37.5703125" style="3" customWidth="1"/>
    <col min="10243" max="10243" width="12.5703125" style="3" customWidth="1"/>
    <col min="10244" max="10252" width="13.42578125" style="3" customWidth="1"/>
    <col min="10253" max="10497" width="8.7109375" style="3"/>
    <col min="10498" max="10498" width="37.5703125" style="3" customWidth="1"/>
    <col min="10499" max="10499" width="12.5703125" style="3" customWidth="1"/>
    <col min="10500" max="10508" width="13.42578125" style="3" customWidth="1"/>
    <col min="10509" max="10753" width="8.7109375" style="3"/>
    <col min="10754" max="10754" width="37.5703125" style="3" customWidth="1"/>
    <col min="10755" max="10755" width="12.5703125" style="3" customWidth="1"/>
    <col min="10756" max="10764" width="13.42578125" style="3" customWidth="1"/>
    <col min="10765" max="11009" width="8.7109375" style="3"/>
    <col min="11010" max="11010" width="37.5703125" style="3" customWidth="1"/>
    <col min="11011" max="11011" width="12.5703125" style="3" customWidth="1"/>
    <col min="11012" max="11020" width="13.42578125" style="3" customWidth="1"/>
    <col min="11021" max="11265" width="8.7109375" style="3"/>
    <col min="11266" max="11266" width="37.5703125" style="3" customWidth="1"/>
    <col min="11267" max="11267" width="12.5703125" style="3" customWidth="1"/>
    <col min="11268" max="11276" width="13.42578125" style="3" customWidth="1"/>
    <col min="11277" max="11521" width="8.7109375" style="3"/>
    <col min="11522" max="11522" width="37.5703125" style="3" customWidth="1"/>
    <col min="11523" max="11523" width="12.5703125" style="3" customWidth="1"/>
    <col min="11524" max="11532" width="13.42578125" style="3" customWidth="1"/>
    <col min="11533" max="11777" width="8.7109375" style="3"/>
    <col min="11778" max="11778" width="37.5703125" style="3" customWidth="1"/>
    <col min="11779" max="11779" width="12.5703125" style="3" customWidth="1"/>
    <col min="11780" max="11788" width="13.42578125" style="3" customWidth="1"/>
    <col min="11789" max="12033" width="8.7109375" style="3"/>
    <col min="12034" max="12034" width="37.5703125" style="3" customWidth="1"/>
    <col min="12035" max="12035" width="12.5703125" style="3" customWidth="1"/>
    <col min="12036" max="12044" width="13.42578125" style="3" customWidth="1"/>
    <col min="12045" max="12289" width="8.7109375" style="3"/>
    <col min="12290" max="12290" width="37.5703125" style="3" customWidth="1"/>
    <col min="12291" max="12291" width="12.5703125" style="3" customWidth="1"/>
    <col min="12292" max="12300" width="13.42578125" style="3" customWidth="1"/>
    <col min="12301" max="12545" width="8.7109375" style="3"/>
    <col min="12546" max="12546" width="37.5703125" style="3" customWidth="1"/>
    <col min="12547" max="12547" width="12.5703125" style="3" customWidth="1"/>
    <col min="12548" max="12556" width="13.42578125" style="3" customWidth="1"/>
    <col min="12557" max="12801" width="8.7109375" style="3"/>
    <col min="12802" max="12802" width="37.5703125" style="3" customWidth="1"/>
    <col min="12803" max="12803" width="12.5703125" style="3" customWidth="1"/>
    <col min="12804" max="12812" width="13.42578125" style="3" customWidth="1"/>
    <col min="12813" max="13057" width="8.7109375" style="3"/>
    <col min="13058" max="13058" width="37.5703125" style="3" customWidth="1"/>
    <col min="13059" max="13059" width="12.5703125" style="3" customWidth="1"/>
    <col min="13060" max="13068" width="13.42578125" style="3" customWidth="1"/>
    <col min="13069" max="13313" width="8.7109375" style="3"/>
    <col min="13314" max="13314" width="37.5703125" style="3" customWidth="1"/>
    <col min="13315" max="13315" width="12.5703125" style="3" customWidth="1"/>
    <col min="13316" max="13324" width="13.42578125" style="3" customWidth="1"/>
    <col min="13325" max="13569" width="8.7109375" style="3"/>
    <col min="13570" max="13570" width="37.5703125" style="3" customWidth="1"/>
    <col min="13571" max="13571" width="12.5703125" style="3" customWidth="1"/>
    <col min="13572" max="13580" width="13.42578125" style="3" customWidth="1"/>
    <col min="13581" max="13825" width="8.7109375" style="3"/>
    <col min="13826" max="13826" width="37.5703125" style="3" customWidth="1"/>
    <col min="13827" max="13827" width="12.5703125" style="3" customWidth="1"/>
    <col min="13828" max="13836" width="13.42578125" style="3" customWidth="1"/>
    <col min="13837" max="14081" width="8.7109375" style="3"/>
    <col min="14082" max="14082" width="37.5703125" style="3" customWidth="1"/>
    <col min="14083" max="14083" width="12.5703125" style="3" customWidth="1"/>
    <col min="14084" max="14092" width="13.42578125" style="3" customWidth="1"/>
    <col min="14093" max="14337" width="8.7109375" style="3"/>
    <col min="14338" max="14338" width="37.5703125" style="3" customWidth="1"/>
    <col min="14339" max="14339" width="12.5703125" style="3" customWidth="1"/>
    <col min="14340" max="14348" width="13.42578125" style="3" customWidth="1"/>
    <col min="14349" max="14593" width="8.7109375" style="3"/>
    <col min="14594" max="14594" width="37.5703125" style="3" customWidth="1"/>
    <col min="14595" max="14595" width="12.5703125" style="3" customWidth="1"/>
    <col min="14596" max="14604" width="13.42578125" style="3" customWidth="1"/>
    <col min="14605" max="14849" width="8.7109375" style="3"/>
    <col min="14850" max="14850" width="37.5703125" style="3" customWidth="1"/>
    <col min="14851" max="14851" width="12.5703125" style="3" customWidth="1"/>
    <col min="14852" max="14860" width="13.42578125" style="3" customWidth="1"/>
    <col min="14861" max="15105" width="8.7109375" style="3"/>
    <col min="15106" max="15106" width="37.5703125" style="3" customWidth="1"/>
    <col min="15107" max="15107" width="12.5703125" style="3" customWidth="1"/>
    <col min="15108" max="15116" width="13.42578125" style="3" customWidth="1"/>
    <col min="15117" max="15361" width="8.7109375" style="3"/>
    <col min="15362" max="15362" width="37.5703125" style="3" customWidth="1"/>
    <col min="15363" max="15363" width="12.5703125" style="3" customWidth="1"/>
    <col min="15364" max="15372" width="13.42578125" style="3" customWidth="1"/>
    <col min="15373" max="15617" width="8.7109375" style="3"/>
    <col min="15618" max="15618" width="37.5703125" style="3" customWidth="1"/>
    <col min="15619" max="15619" width="12.5703125" style="3" customWidth="1"/>
    <col min="15620" max="15628" width="13.42578125" style="3" customWidth="1"/>
    <col min="15629" max="15873" width="8.7109375" style="3"/>
    <col min="15874" max="15874" width="37.5703125" style="3" customWidth="1"/>
    <col min="15875" max="15875" width="12.5703125" style="3" customWidth="1"/>
    <col min="15876" max="15884" width="13.42578125" style="3" customWidth="1"/>
    <col min="15885" max="16129" width="8.7109375" style="3"/>
    <col min="16130" max="16130" width="37.5703125" style="3" customWidth="1"/>
    <col min="16131" max="16131" width="12.5703125" style="3" customWidth="1"/>
    <col min="16132" max="16140" width="13.42578125" style="3" customWidth="1"/>
    <col min="16141" max="16384" width="8.7109375" style="3"/>
  </cols>
  <sheetData>
    <row r="1" spans="1:74" ht="32.25">
      <c r="A1" s="1" t="s">
        <v>545</v>
      </c>
      <c r="B1" s="2"/>
      <c r="C1" s="2"/>
      <c r="D1" s="2"/>
      <c r="E1" s="2"/>
      <c r="F1" s="2"/>
      <c r="G1" s="2"/>
      <c r="H1" s="2"/>
      <c r="I1" s="2"/>
      <c r="J1" s="2"/>
      <c r="K1" s="2"/>
      <c r="L1" s="1"/>
      <c r="M1" s="1"/>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row>
    <row r="2" spans="1:74" s="13" customFormat="1" ht="21.6" customHeight="1">
      <c r="A2" s="4" t="s">
        <v>429</v>
      </c>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row>
    <row r="3" spans="1:74" s="13" customFormat="1" ht="23.25">
      <c r="G3" s="89"/>
      <c r="H3" s="89"/>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row>
    <row r="4" spans="1:74">
      <c r="G4" s="12"/>
      <c r="H4" s="330"/>
      <c r="I4" s="12"/>
      <c r="J4" s="102">
        <v>1</v>
      </c>
      <c r="K4" s="102">
        <f t="shared" ref="K4:Z5" si="0">J4+1</f>
        <v>2</v>
      </c>
      <c r="L4" s="102">
        <f t="shared" si="0"/>
        <v>3</v>
      </c>
      <c r="M4" s="102">
        <f t="shared" si="0"/>
        <v>4</v>
      </c>
      <c r="N4" s="102">
        <f t="shared" si="0"/>
        <v>5</v>
      </c>
      <c r="O4" s="102">
        <f t="shared" si="0"/>
        <v>6</v>
      </c>
      <c r="P4" s="102">
        <f t="shared" si="0"/>
        <v>7</v>
      </c>
      <c r="Q4" s="102">
        <f t="shared" si="0"/>
        <v>8</v>
      </c>
      <c r="R4" s="102">
        <f t="shared" si="0"/>
        <v>9</v>
      </c>
      <c r="S4" s="102">
        <f t="shared" si="0"/>
        <v>10</v>
      </c>
      <c r="T4" s="102">
        <f t="shared" si="0"/>
        <v>11</v>
      </c>
      <c r="U4" s="102">
        <f t="shared" si="0"/>
        <v>12</v>
      </c>
      <c r="V4" s="102">
        <f t="shared" si="0"/>
        <v>13</v>
      </c>
      <c r="W4" s="102">
        <f t="shared" si="0"/>
        <v>14</v>
      </c>
      <c r="X4" s="102">
        <f t="shared" si="0"/>
        <v>15</v>
      </c>
      <c r="Y4" s="102">
        <f t="shared" si="0"/>
        <v>16</v>
      </c>
      <c r="Z4" s="102">
        <f t="shared" si="0"/>
        <v>17</v>
      </c>
      <c r="AA4" s="102">
        <f t="shared" ref="AA4:AP5" si="1">Z4+1</f>
        <v>18</v>
      </c>
      <c r="AB4" s="102">
        <f t="shared" si="1"/>
        <v>19</v>
      </c>
      <c r="AC4" s="102">
        <f t="shared" si="1"/>
        <v>20</v>
      </c>
      <c r="AD4" s="102">
        <f t="shared" si="1"/>
        <v>21</v>
      </c>
      <c r="AE4" s="102">
        <f t="shared" si="1"/>
        <v>22</v>
      </c>
      <c r="AF4" s="102">
        <f t="shared" si="1"/>
        <v>23</v>
      </c>
      <c r="AG4" s="102">
        <f t="shared" si="1"/>
        <v>24</v>
      </c>
      <c r="AH4" s="102">
        <f t="shared" si="1"/>
        <v>25</v>
      </c>
      <c r="AI4" s="102">
        <f t="shared" si="1"/>
        <v>26</v>
      </c>
      <c r="AJ4" s="102">
        <f t="shared" si="1"/>
        <v>27</v>
      </c>
      <c r="AK4" s="102">
        <f t="shared" si="1"/>
        <v>28</v>
      </c>
      <c r="AL4" s="102">
        <f t="shared" si="1"/>
        <v>29</v>
      </c>
      <c r="AM4" s="102">
        <f t="shared" si="1"/>
        <v>30</v>
      </c>
      <c r="AN4" s="102">
        <f t="shared" si="1"/>
        <v>31</v>
      </c>
      <c r="AO4" s="102">
        <f t="shared" si="1"/>
        <v>32</v>
      </c>
      <c r="AP4" s="102">
        <f t="shared" si="1"/>
        <v>33</v>
      </c>
      <c r="AQ4" s="102">
        <f t="shared" ref="AQ4:BF5" si="2">AP4+1</f>
        <v>34</v>
      </c>
      <c r="AR4" s="102">
        <f t="shared" si="2"/>
        <v>35</v>
      </c>
      <c r="AS4" s="102">
        <f t="shared" si="2"/>
        <v>36</v>
      </c>
      <c r="AT4" s="102">
        <f t="shared" si="2"/>
        <v>37</v>
      </c>
      <c r="AU4" s="102">
        <f t="shared" si="2"/>
        <v>38</v>
      </c>
      <c r="AV4" s="102">
        <f t="shared" si="2"/>
        <v>39</v>
      </c>
      <c r="AW4" s="102">
        <f t="shared" si="2"/>
        <v>40</v>
      </c>
      <c r="AX4" s="102">
        <f t="shared" si="2"/>
        <v>41</v>
      </c>
      <c r="AY4" s="102">
        <f t="shared" si="2"/>
        <v>42</v>
      </c>
      <c r="AZ4" s="102">
        <f t="shared" si="2"/>
        <v>43</v>
      </c>
      <c r="BA4" s="102">
        <f t="shared" si="2"/>
        <v>44</v>
      </c>
      <c r="BB4" s="102">
        <f t="shared" si="2"/>
        <v>45</v>
      </c>
      <c r="BC4" s="102">
        <f t="shared" si="2"/>
        <v>46</v>
      </c>
      <c r="BD4" s="102">
        <f t="shared" si="2"/>
        <v>47</v>
      </c>
      <c r="BE4" s="102">
        <f t="shared" si="2"/>
        <v>48</v>
      </c>
      <c r="BF4" s="102">
        <f t="shared" si="2"/>
        <v>49</v>
      </c>
      <c r="BG4" s="102">
        <f t="shared" ref="BG4:BV5" si="3">BF4+1</f>
        <v>50</v>
      </c>
      <c r="BH4" s="102">
        <f t="shared" si="3"/>
        <v>51</v>
      </c>
      <c r="BI4" s="102">
        <f t="shared" si="3"/>
        <v>52</v>
      </c>
      <c r="BJ4" s="102">
        <f t="shared" si="3"/>
        <v>53</v>
      </c>
      <c r="BK4" s="102">
        <f t="shared" si="3"/>
        <v>54</v>
      </c>
      <c r="BL4" s="102">
        <f t="shared" si="3"/>
        <v>55</v>
      </c>
      <c r="BM4" s="102">
        <f t="shared" si="3"/>
        <v>56</v>
      </c>
      <c r="BN4" s="102">
        <f t="shared" si="3"/>
        <v>57</v>
      </c>
      <c r="BO4" s="102">
        <f t="shared" si="3"/>
        <v>58</v>
      </c>
      <c r="BP4" s="102">
        <f t="shared" si="3"/>
        <v>59</v>
      </c>
      <c r="BQ4" s="102">
        <f t="shared" si="3"/>
        <v>60</v>
      </c>
      <c r="BR4" s="102">
        <f t="shared" si="3"/>
        <v>61</v>
      </c>
      <c r="BS4" s="102">
        <f t="shared" si="3"/>
        <v>62</v>
      </c>
      <c r="BT4" s="102">
        <f t="shared" si="3"/>
        <v>63</v>
      </c>
      <c r="BU4" s="102">
        <f t="shared" si="3"/>
        <v>64</v>
      </c>
      <c r="BV4" s="102">
        <f t="shared" si="3"/>
        <v>65</v>
      </c>
    </row>
    <row r="5" spans="1:74" ht="24" thickBot="1">
      <c r="A5" s="10" t="s">
        <v>519</v>
      </c>
      <c r="B5" s="10"/>
      <c r="C5" s="10"/>
      <c r="D5" s="10"/>
      <c r="E5" s="10"/>
      <c r="G5" s="12"/>
      <c r="H5" s="12"/>
      <c r="I5" s="125" t="s">
        <v>536</v>
      </c>
      <c r="J5" s="125">
        <v>2023</v>
      </c>
      <c r="K5" s="125">
        <f>J5+1</f>
        <v>2024</v>
      </c>
      <c r="L5" s="125">
        <f t="shared" si="0"/>
        <v>2025</v>
      </c>
      <c r="M5" s="125">
        <f t="shared" si="0"/>
        <v>2026</v>
      </c>
      <c r="N5" s="125">
        <f t="shared" si="0"/>
        <v>2027</v>
      </c>
      <c r="O5" s="125">
        <f t="shared" si="0"/>
        <v>2028</v>
      </c>
      <c r="P5" s="125">
        <f t="shared" si="0"/>
        <v>2029</v>
      </c>
      <c r="Q5" s="125">
        <f t="shared" si="0"/>
        <v>2030</v>
      </c>
      <c r="R5" s="125">
        <f t="shared" si="0"/>
        <v>2031</v>
      </c>
      <c r="S5" s="125">
        <f t="shared" si="0"/>
        <v>2032</v>
      </c>
      <c r="T5" s="125">
        <f t="shared" si="0"/>
        <v>2033</v>
      </c>
      <c r="U5" s="125">
        <f t="shared" si="0"/>
        <v>2034</v>
      </c>
      <c r="V5" s="125">
        <f t="shared" si="0"/>
        <v>2035</v>
      </c>
      <c r="W5" s="125">
        <f t="shared" si="0"/>
        <v>2036</v>
      </c>
      <c r="X5" s="125">
        <f t="shared" si="0"/>
        <v>2037</v>
      </c>
      <c r="Y5" s="125">
        <f t="shared" si="0"/>
        <v>2038</v>
      </c>
      <c r="Z5" s="125">
        <f t="shared" si="0"/>
        <v>2039</v>
      </c>
      <c r="AA5" s="125">
        <f t="shared" si="1"/>
        <v>2040</v>
      </c>
      <c r="AB5" s="125">
        <f t="shared" si="1"/>
        <v>2041</v>
      </c>
      <c r="AC5" s="125">
        <f t="shared" si="1"/>
        <v>2042</v>
      </c>
      <c r="AD5" s="125">
        <f t="shared" si="1"/>
        <v>2043</v>
      </c>
      <c r="AE5" s="125">
        <f t="shared" si="1"/>
        <v>2044</v>
      </c>
      <c r="AF5" s="125">
        <f t="shared" si="1"/>
        <v>2045</v>
      </c>
      <c r="AG5" s="125">
        <f t="shared" si="1"/>
        <v>2046</v>
      </c>
      <c r="AH5" s="125">
        <f t="shared" si="1"/>
        <v>2047</v>
      </c>
      <c r="AI5" s="125">
        <f t="shared" si="1"/>
        <v>2048</v>
      </c>
      <c r="AJ5" s="125">
        <f t="shared" si="1"/>
        <v>2049</v>
      </c>
      <c r="AK5" s="125">
        <f t="shared" si="1"/>
        <v>2050</v>
      </c>
      <c r="AL5" s="125">
        <f t="shared" si="1"/>
        <v>2051</v>
      </c>
      <c r="AM5" s="125">
        <f t="shared" si="1"/>
        <v>2052</v>
      </c>
      <c r="AN5" s="125">
        <f t="shared" si="1"/>
        <v>2053</v>
      </c>
      <c r="AO5" s="125">
        <f t="shared" si="1"/>
        <v>2054</v>
      </c>
      <c r="AP5" s="125">
        <f t="shared" si="1"/>
        <v>2055</v>
      </c>
      <c r="AQ5" s="125">
        <f t="shared" si="2"/>
        <v>2056</v>
      </c>
      <c r="AR5" s="125">
        <f t="shared" si="2"/>
        <v>2057</v>
      </c>
      <c r="AS5" s="125">
        <f t="shared" si="2"/>
        <v>2058</v>
      </c>
      <c r="AT5" s="125">
        <f t="shared" si="2"/>
        <v>2059</v>
      </c>
      <c r="AU5" s="125">
        <f t="shared" si="2"/>
        <v>2060</v>
      </c>
      <c r="AV5" s="125">
        <f t="shared" si="2"/>
        <v>2061</v>
      </c>
      <c r="AW5" s="125">
        <f t="shared" si="2"/>
        <v>2062</v>
      </c>
      <c r="AX5" s="125">
        <f t="shared" si="2"/>
        <v>2063</v>
      </c>
      <c r="AY5" s="125">
        <f t="shared" si="2"/>
        <v>2064</v>
      </c>
      <c r="AZ5" s="125">
        <f t="shared" si="2"/>
        <v>2065</v>
      </c>
      <c r="BA5" s="125">
        <f t="shared" si="2"/>
        <v>2066</v>
      </c>
      <c r="BB5" s="125">
        <f t="shared" si="2"/>
        <v>2067</v>
      </c>
      <c r="BC5" s="125">
        <f t="shared" si="2"/>
        <v>2068</v>
      </c>
      <c r="BD5" s="125">
        <f t="shared" si="2"/>
        <v>2069</v>
      </c>
      <c r="BE5" s="125">
        <f t="shared" si="2"/>
        <v>2070</v>
      </c>
      <c r="BF5" s="125">
        <f t="shared" si="2"/>
        <v>2071</v>
      </c>
      <c r="BG5" s="125">
        <f t="shared" si="3"/>
        <v>2072</v>
      </c>
      <c r="BH5" s="125">
        <f t="shared" si="3"/>
        <v>2073</v>
      </c>
      <c r="BI5" s="125">
        <f t="shared" si="3"/>
        <v>2074</v>
      </c>
      <c r="BJ5" s="125">
        <f t="shared" si="3"/>
        <v>2075</v>
      </c>
      <c r="BK5" s="125">
        <f t="shared" si="3"/>
        <v>2076</v>
      </c>
      <c r="BL5" s="125">
        <f t="shared" si="3"/>
        <v>2077</v>
      </c>
      <c r="BM5" s="125">
        <f t="shared" si="3"/>
        <v>2078</v>
      </c>
      <c r="BN5" s="125">
        <f t="shared" si="3"/>
        <v>2079</v>
      </c>
      <c r="BO5" s="125">
        <f t="shared" si="3"/>
        <v>2080</v>
      </c>
      <c r="BP5" s="125">
        <f t="shared" si="3"/>
        <v>2081</v>
      </c>
      <c r="BQ5" s="125">
        <f t="shared" si="3"/>
        <v>2082</v>
      </c>
      <c r="BR5" s="125">
        <f t="shared" si="3"/>
        <v>2083</v>
      </c>
      <c r="BS5" s="125">
        <f t="shared" si="3"/>
        <v>2084</v>
      </c>
      <c r="BT5" s="125">
        <f t="shared" si="3"/>
        <v>2085</v>
      </c>
      <c r="BU5" s="125">
        <f t="shared" si="3"/>
        <v>2086</v>
      </c>
      <c r="BV5" s="125">
        <f t="shared" si="3"/>
        <v>2087</v>
      </c>
    </row>
    <row r="6" spans="1:74">
      <c r="A6" s="153"/>
      <c r="B6" s="153" t="s">
        <v>398</v>
      </c>
      <c r="C6" s="153" t="s">
        <v>544</v>
      </c>
      <c r="D6" s="153" t="s">
        <v>550</v>
      </c>
      <c r="E6" s="153" t="s">
        <v>551</v>
      </c>
      <c r="G6" s="12" t="s">
        <v>526</v>
      </c>
      <c r="H6" s="12"/>
      <c r="I6" s="105">
        <f>SUM(J6:BV6)</f>
        <v>90000</v>
      </c>
      <c r="J6" s="105">
        <f t="shared" ref="J6:AO6" si="4">IF( J$4 = $B$38, $B$42, 0)</f>
        <v>0</v>
      </c>
      <c r="K6" s="105">
        <f t="shared" si="4"/>
        <v>90000</v>
      </c>
      <c r="L6" s="105">
        <f t="shared" si="4"/>
        <v>0</v>
      </c>
      <c r="M6" s="105">
        <f t="shared" si="4"/>
        <v>0</v>
      </c>
      <c r="N6" s="105">
        <f t="shared" si="4"/>
        <v>0</v>
      </c>
      <c r="O6" s="105">
        <f t="shared" si="4"/>
        <v>0</v>
      </c>
      <c r="P6" s="105">
        <f t="shared" si="4"/>
        <v>0</v>
      </c>
      <c r="Q6" s="105">
        <f t="shared" si="4"/>
        <v>0</v>
      </c>
      <c r="R6" s="105">
        <f t="shared" si="4"/>
        <v>0</v>
      </c>
      <c r="S6" s="105">
        <f t="shared" si="4"/>
        <v>0</v>
      </c>
      <c r="T6" s="105">
        <f t="shared" si="4"/>
        <v>0</v>
      </c>
      <c r="U6" s="105">
        <f t="shared" si="4"/>
        <v>0</v>
      </c>
      <c r="V6" s="105">
        <f t="shared" si="4"/>
        <v>0</v>
      </c>
      <c r="W6" s="105">
        <f t="shared" si="4"/>
        <v>0</v>
      </c>
      <c r="X6" s="105">
        <f t="shared" si="4"/>
        <v>0</v>
      </c>
      <c r="Y6" s="105">
        <f t="shared" si="4"/>
        <v>0</v>
      </c>
      <c r="Z6" s="105">
        <f t="shared" si="4"/>
        <v>0</v>
      </c>
      <c r="AA6" s="105">
        <f t="shared" si="4"/>
        <v>0</v>
      </c>
      <c r="AB6" s="105">
        <f t="shared" si="4"/>
        <v>0</v>
      </c>
      <c r="AC6" s="105">
        <f t="shared" si="4"/>
        <v>0</v>
      </c>
      <c r="AD6" s="105">
        <f t="shared" si="4"/>
        <v>0</v>
      </c>
      <c r="AE6" s="105">
        <f t="shared" si="4"/>
        <v>0</v>
      </c>
      <c r="AF6" s="105">
        <f t="shared" si="4"/>
        <v>0</v>
      </c>
      <c r="AG6" s="105">
        <f t="shared" si="4"/>
        <v>0</v>
      </c>
      <c r="AH6" s="105">
        <f t="shared" si="4"/>
        <v>0</v>
      </c>
      <c r="AI6" s="105">
        <f t="shared" si="4"/>
        <v>0</v>
      </c>
      <c r="AJ6" s="105">
        <f t="shared" si="4"/>
        <v>0</v>
      </c>
      <c r="AK6" s="105">
        <f t="shared" si="4"/>
        <v>0</v>
      </c>
      <c r="AL6" s="105">
        <f t="shared" si="4"/>
        <v>0</v>
      </c>
      <c r="AM6" s="105">
        <f t="shared" si="4"/>
        <v>0</v>
      </c>
      <c r="AN6" s="105">
        <f t="shared" si="4"/>
        <v>0</v>
      </c>
      <c r="AO6" s="105">
        <f t="shared" si="4"/>
        <v>0</v>
      </c>
      <c r="AP6" s="105">
        <f t="shared" ref="AP6:BV6" si="5">IF( AP$4 = $B$38, $B$42, 0)</f>
        <v>0</v>
      </c>
      <c r="AQ6" s="105">
        <f t="shared" si="5"/>
        <v>0</v>
      </c>
      <c r="AR6" s="105">
        <f t="shared" si="5"/>
        <v>0</v>
      </c>
      <c r="AS6" s="105">
        <f t="shared" si="5"/>
        <v>0</v>
      </c>
      <c r="AT6" s="105">
        <f t="shared" si="5"/>
        <v>0</v>
      </c>
      <c r="AU6" s="105">
        <f t="shared" si="5"/>
        <v>0</v>
      </c>
      <c r="AV6" s="105">
        <f t="shared" si="5"/>
        <v>0</v>
      </c>
      <c r="AW6" s="105">
        <f t="shared" si="5"/>
        <v>0</v>
      </c>
      <c r="AX6" s="105">
        <f t="shared" si="5"/>
        <v>0</v>
      </c>
      <c r="AY6" s="105">
        <f t="shared" si="5"/>
        <v>0</v>
      </c>
      <c r="AZ6" s="105">
        <f t="shared" si="5"/>
        <v>0</v>
      </c>
      <c r="BA6" s="105">
        <f t="shared" si="5"/>
        <v>0</v>
      </c>
      <c r="BB6" s="105">
        <f t="shared" si="5"/>
        <v>0</v>
      </c>
      <c r="BC6" s="105">
        <f t="shared" si="5"/>
        <v>0</v>
      </c>
      <c r="BD6" s="105">
        <f t="shared" si="5"/>
        <v>0</v>
      </c>
      <c r="BE6" s="105">
        <f t="shared" si="5"/>
        <v>0</v>
      </c>
      <c r="BF6" s="105">
        <f t="shared" si="5"/>
        <v>0</v>
      </c>
      <c r="BG6" s="105">
        <f t="shared" si="5"/>
        <v>0</v>
      </c>
      <c r="BH6" s="105">
        <f t="shared" si="5"/>
        <v>0</v>
      </c>
      <c r="BI6" s="105">
        <f t="shared" si="5"/>
        <v>0</v>
      </c>
      <c r="BJ6" s="105">
        <f t="shared" si="5"/>
        <v>0</v>
      </c>
      <c r="BK6" s="105">
        <f t="shared" si="5"/>
        <v>0</v>
      </c>
      <c r="BL6" s="105">
        <f t="shared" si="5"/>
        <v>0</v>
      </c>
      <c r="BM6" s="105">
        <f t="shared" si="5"/>
        <v>0</v>
      </c>
      <c r="BN6" s="105">
        <f t="shared" si="5"/>
        <v>0</v>
      </c>
      <c r="BO6" s="105">
        <f t="shared" si="5"/>
        <v>0</v>
      </c>
      <c r="BP6" s="105">
        <f t="shared" si="5"/>
        <v>0</v>
      </c>
      <c r="BQ6" s="105">
        <f t="shared" si="5"/>
        <v>0</v>
      </c>
      <c r="BR6" s="105">
        <f t="shared" si="5"/>
        <v>0</v>
      </c>
      <c r="BS6" s="105">
        <f t="shared" si="5"/>
        <v>0</v>
      </c>
      <c r="BT6" s="105">
        <f t="shared" si="5"/>
        <v>0</v>
      </c>
      <c r="BU6" s="105">
        <f t="shared" si="5"/>
        <v>0</v>
      </c>
      <c r="BV6" s="105">
        <f t="shared" si="5"/>
        <v>0</v>
      </c>
    </row>
    <row r="7" spans="1:74">
      <c r="A7" t="s">
        <v>520</v>
      </c>
      <c r="B7" s="294">
        <v>450000</v>
      </c>
      <c r="C7" s="145">
        <f>B7/$B$10</f>
        <v>0.3212563735020591</v>
      </c>
      <c r="D7" s="293">
        <v>0</v>
      </c>
      <c r="E7" s="293">
        <v>0</v>
      </c>
      <c r="G7" s="12" t="s">
        <v>528</v>
      </c>
      <c r="H7" s="12"/>
      <c r="I7" s="105">
        <f t="shared" ref="I7:I27" si="6">SUM(J7:BV7)</f>
        <v>100000</v>
      </c>
      <c r="J7" s="105">
        <f t="shared" ref="J7:AO7" si="7">IF( J$4 = $C$38, $C$42, 0)</f>
        <v>0</v>
      </c>
      <c r="K7" s="105">
        <f t="shared" si="7"/>
        <v>0</v>
      </c>
      <c r="L7" s="105">
        <f t="shared" si="7"/>
        <v>0</v>
      </c>
      <c r="M7" s="105">
        <f t="shared" si="7"/>
        <v>0</v>
      </c>
      <c r="N7" s="105">
        <f t="shared" si="7"/>
        <v>0</v>
      </c>
      <c r="O7" s="105">
        <f t="shared" si="7"/>
        <v>0</v>
      </c>
      <c r="P7" s="105">
        <f t="shared" si="7"/>
        <v>0</v>
      </c>
      <c r="Q7" s="105">
        <f t="shared" si="7"/>
        <v>0</v>
      </c>
      <c r="R7" s="105">
        <f t="shared" si="7"/>
        <v>0</v>
      </c>
      <c r="S7" s="105">
        <f t="shared" si="7"/>
        <v>100000</v>
      </c>
      <c r="T7" s="105">
        <f t="shared" si="7"/>
        <v>0</v>
      </c>
      <c r="U7" s="105">
        <f t="shared" si="7"/>
        <v>0</v>
      </c>
      <c r="V7" s="105">
        <f t="shared" si="7"/>
        <v>0</v>
      </c>
      <c r="W7" s="105">
        <f t="shared" si="7"/>
        <v>0</v>
      </c>
      <c r="X7" s="105">
        <f t="shared" si="7"/>
        <v>0</v>
      </c>
      <c r="Y7" s="105">
        <f t="shared" si="7"/>
        <v>0</v>
      </c>
      <c r="Z7" s="105">
        <f t="shared" si="7"/>
        <v>0</v>
      </c>
      <c r="AA7" s="105">
        <f t="shared" si="7"/>
        <v>0</v>
      </c>
      <c r="AB7" s="105">
        <f t="shared" si="7"/>
        <v>0</v>
      </c>
      <c r="AC7" s="105">
        <f t="shared" si="7"/>
        <v>0</v>
      </c>
      <c r="AD7" s="105">
        <f t="shared" si="7"/>
        <v>0</v>
      </c>
      <c r="AE7" s="105">
        <f t="shared" si="7"/>
        <v>0</v>
      </c>
      <c r="AF7" s="105">
        <f t="shared" si="7"/>
        <v>0</v>
      </c>
      <c r="AG7" s="105">
        <f t="shared" si="7"/>
        <v>0</v>
      </c>
      <c r="AH7" s="105">
        <f t="shared" si="7"/>
        <v>0</v>
      </c>
      <c r="AI7" s="105">
        <f t="shared" si="7"/>
        <v>0</v>
      </c>
      <c r="AJ7" s="105">
        <f t="shared" si="7"/>
        <v>0</v>
      </c>
      <c r="AK7" s="105">
        <f t="shared" si="7"/>
        <v>0</v>
      </c>
      <c r="AL7" s="105">
        <f t="shared" si="7"/>
        <v>0</v>
      </c>
      <c r="AM7" s="105">
        <f t="shared" si="7"/>
        <v>0</v>
      </c>
      <c r="AN7" s="105">
        <f t="shared" si="7"/>
        <v>0</v>
      </c>
      <c r="AO7" s="105">
        <f t="shared" si="7"/>
        <v>0</v>
      </c>
      <c r="AP7" s="105">
        <f t="shared" ref="AP7:BV7" si="8">IF( AP$4 = $C$38, $C$42, 0)</f>
        <v>0</v>
      </c>
      <c r="AQ7" s="105">
        <f t="shared" si="8"/>
        <v>0</v>
      </c>
      <c r="AR7" s="105">
        <f t="shared" si="8"/>
        <v>0</v>
      </c>
      <c r="AS7" s="105">
        <f t="shared" si="8"/>
        <v>0</v>
      </c>
      <c r="AT7" s="105">
        <f t="shared" si="8"/>
        <v>0</v>
      </c>
      <c r="AU7" s="105">
        <f t="shared" si="8"/>
        <v>0</v>
      </c>
      <c r="AV7" s="105">
        <f t="shared" si="8"/>
        <v>0</v>
      </c>
      <c r="AW7" s="105">
        <f t="shared" si="8"/>
        <v>0</v>
      </c>
      <c r="AX7" s="105">
        <f t="shared" si="8"/>
        <v>0</v>
      </c>
      <c r="AY7" s="105">
        <f t="shared" si="8"/>
        <v>0</v>
      </c>
      <c r="AZ7" s="105">
        <f t="shared" si="8"/>
        <v>0</v>
      </c>
      <c r="BA7" s="105">
        <f t="shared" si="8"/>
        <v>0</v>
      </c>
      <c r="BB7" s="105">
        <f t="shared" si="8"/>
        <v>0</v>
      </c>
      <c r="BC7" s="105">
        <f t="shared" si="8"/>
        <v>0</v>
      </c>
      <c r="BD7" s="105">
        <f t="shared" si="8"/>
        <v>0</v>
      </c>
      <c r="BE7" s="105">
        <f t="shared" si="8"/>
        <v>0</v>
      </c>
      <c r="BF7" s="105">
        <f t="shared" si="8"/>
        <v>0</v>
      </c>
      <c r="BG7" s="105">
        <f t="shared" si="8"/>
        <v>0</v>
      </c>
      <c r="BH7" s="105">
        <f t="shared" si="8"/>
        <v>0</v>
      </c>
      <c r="BI7" s="105">
        <f t="shared" si="8"/>
        <v>0</v>
      </c>
      <c r="BJ7" s="105">
        <f t="shared" si="8"/>
        <v>0</v>
      </c>
      <c r="BK7" s="105">
        <f t="shared" si="8"/>
        <v>0</v>
      </c>
      <c r="BL7" s="105">
        <f t="shared" si="8"/>
        <v>0</v>
      </c>
      <c r="BM7" s="105">
        <f t="shared" si="8"/>
        <v>0</v>
      </c>
      <c r="BN7" s="105">
        <f t="shared" si="8"/>
        <v>0</v>
      </c>
      <c r="BO7" s="105">
        <f t="shared" si="8"/>
        <v>0</v>
      </c>
      <c r="BP7" s="105">
        <f t="shared" si="8"/>
        <v>0</v>
      </c>
      <c r="BQ7" s="105">
        <f t="shared" si="8"/>
        <v>0</v>
      </c>
      <c r="BR7" s="105">
        <f t="shared" si="8"/>
        <v>0</v>
      </c>
      <c r="BS7" s="105">
        <f t="shared" si="8"/>
        <v>0</v>
      </c>
      <c r="BT7" s="105">
        <f t="shared" si="8"/>
        <v>0</v>
      </c>
      <c r="BU7" s="105">
        <f t="shared" si="8"/>
        <v>0</v>
      </c>
      <c r="BV7" s="105">
        <f t="shared" si="8"/>
        <v>0</v>
      </c>
    </row>
    <row r="8" spans="1:74">
      <c r="A8" t="s">
        <v>521</v>
      </c>
      <c r="B8" s="295">
        <f>SUM(B43:D43)</f>
        <v>316475.97896430804</v>
      </c>
      <c r="C8" s="145">
        <f>B8/$B$10</f>
        <v>0.22593316733908342</v>
      </c>
      <c r="D8" s="298">
        <f>I15</f>
        <v>17.926438071065256</v>
      </c>
      <c r="E8" s="297">
        <f>I16</f>
        <v>480.65469040011942</v>
      </c>
      <c r="G8" s="12" t="s">
        <v>529</v>
      </c>
      <c r="H8" s="12"/>
      <c r="I8" s="105">
        <f t="shared" si="6"/>
        <v>707000</v>
      </c>
      <c r="J8" s="105">
        <f t="shared" ref="J8:AO8" si="9">IF( J$4 = $D$38, $D$42, 0)</f>
        <v>0</v>
      </c>
      <c r="K8" s="105">
        <f t="shared" si="9"/>
        <v>0</v>
      </c>
      <c r="L8" s="105">
        <f t="shared" si="9"/>
        <v>0</v>
      </c>
      <c r="M8" s="105">
        <f t="shared" si="9"/>
        <v>0</v>
      </c>
      <c r="N8" s="105">
        <f t="shared" si="9"/>
        <v>0</v>
      </c>
      <c r="O8" s="105">
        <f t="shared" si="9"/>
        <v>0</v>
      </c>
      <c r="P8" s="105">
        <f t="shared" si="9"/>
        <v>0</v>
      </c>
      <c r="Q8" s="105">
        <f t="shared" si="9"/>
        <v>0</v>
      </c>
      <c r="R8" s="105">
        <f t="shared" si="9"/>
        <v>0</v>
      </c>
      <c r="S8" s="105">
        <f t="shared" si="9"/>
        <v>0</v>
      </c>
      <c r="T8" s="105">
        <f t="shared" si="9"/>
        <v>0</v>
      </c>
      <c r="U8" s="105">
        <f t="shared" si="9"/>
        <v>0</v>
      </c>
      <c r="V8" s="105">
        <f t="shared" si="9"/>
        <v>0</v>
      </c>
      <c r="W8" s="105">
        <f t="shared" si="9"/>
        <v>0</v>
      </c>
      <c r="X8" s="105">
        <f t="shared" si="9"/>
        <v>0</v>
      </c>
      <c r="Y8" s="105">
        <f t="shared" si="9"/>
        <v>0</v>
      </c>
      <c r="Z8" s="105">
        <f t="shared" si="9"/>
        <v>0</v>
      </c>
      <c r="AA8" s="105">
        <f t="shared" si="9"/>
        <v>0</v>
      </c>
      <c r="AB8" s="105">
        <f t="shared" si="9"/>
        <v>0</v>
      </c>
      <c r="AC8" s="105">
        <f t="shared" si="9"/>
        <v>0</v>
      </c>
      <c r="AD8" s="105">
        <f t="shared" si="9"/>
        <v>0</v>
      </c>
      <c r="AE8" s="105">
        <f t="shared" si="9"/>
        <v>0</v>
      </c>
      <c r="AF8" s="105">
        <f t="shared" si="9"/>
        <v>0</v>
      </c>
      <c r="AG8" s="105">
        <f t="shared" si="9"/>
        <v>0</v>
      </c>
      <c r="AH8" s="105">
        <f t="shared" si="9"/>
        <v>0</v>
      </c>
      <c r="AI8" s="105">
        <f t="shared" si="9"/>
        <v>0</v>
      </c>
      <c r="AJ8" s="105">
        <f t="shared" si="9"/>
        <v>0</v>
      </c>
      <c r="AK8" s="105">
        <f t="shared" si="9"/>
        <v>0</v>
      </c>
      <c r="AL8" s="105">
        <f t="shared" si="9"/>
        <v>0</v>
      </c>
      <c r="AM8" s="105">
        <f t="shared" si="9"/>
        <v>707000</v>
      </c>
      <c r="AN8" s="105">
        <f t="shared" si="9"/>
        <v>0</v>
      </c>
      <c r="AO8" s="105">
        <f t="shared" si="9"/>
        <v>0</v>
      </c>
      <c r="AP8" s="105">
        <f t="shared" ref="AP8:BV8" si="10">IF( AP$4 = $D$38, $D$42, 0)</f>
        <v>0</v>
      </c>
      <c r="AQ8" s="105">
        <f t="shared" si="10"/>
        <v>0</v>
      </c>
      <c r="AR8" s="105">
        <f t="shared" si="10"/>
        <v>0</v>
      </c>
      <c r="AS8" s="105">
        <f t="shared" si="10"/>
        <v>0</v>
      </c>
      <c r="AT8" s="105">
        <f t="shared" si="10"/>
        <v>0</v>
      </c>
      <c r="AU8" s="105">
        <f t="shared" si="10"/>
        <v>0</v>
      </c>
      <c r="AV8" s="105">
        <f t="shared" si="10"/>
        <v>0</v>
      </c>
      <c r="AW8" s="105">
        <f t="shared" si="10"/>
        <v>0</v>
      </c>
      <c r="AX8" s="105">
        <f t="shared" si="10"/>
        <v>0</v>
      </c>
      <c r="AY8" s="105">
        <f t="shared" si="10"/>
        <v>0</v>
      </c>
      <c r="AZ8" s="105">
        <f t="shared" si="10"/>
        <v>0</v>
      </c>
      <c r="BA8" s="105">
        <f t="shared" si="10"/>
        <v>0</v>
      </c>
      <c r="BB8" s="105">
        <f t="shared" si="10"/>
        <v>0</v>
      </c>
      <c r="BC8" s="105">
        <f t="shared" si="10"/>
        <v>0</v>
      </c>
      <c r="BD8" s="105">
        <f t="shared" si="10"/>
        <v>0</v>
      </c>
      <c r="BE8" s="105">
        <f t="shared" si="10"/>
        <v>0</v>
      </c>
      <c r="BF8" s="105">
        <f t="shared" si="10"/>
        <v>0</v>
      </c>
      <c r="BG8" s="105">
        <f t="shared" si="10"/>
        <v>0</v>
      </c>
      <c r="BH8" s="105">
        <f t="shared" si="10"/>
        <v>0</v>
      </c>
      <c r="BI8" s="105">
        <f t="shared" si="10"/>
        <v>0</v>
      </c>
      <c r="BJ8" s="105">
        <f t="shared" si="10"/>
        <v>0</v>
      </c>
      <c r="BK8" s="105">
        <f t="shared" si="10"/>
        <v>0</v>
      </c>
      <c r="BL8" s="105">
        <f t="shared" si="10"/>
        <v>0</v>
      </c>
      <c r="BM8" s="105">
        <f t="shared" si="10"/>
        <v>0</v>
      </c>
      <c r="BN8" s="105">
        <f t="shared" si="10"/>
        <v>0</v>
      </c>
      <c r="BO8" s="105">
        <f t="shared" si="10"/>
        <v>0</v>
      </c>
      <c r="BP8" s="105">
        <f t="shared" si="10"/>
        <v>0</v>
      </c>
      <c r="BQ8" s="105">
        <f t="shared" si="10"/>
        <v>0</v>
      </c>
      <c r="BR8" s="105">
        <f t="shared" si="10"/>
        <v>0</v>
      </c>
      <c r="BS8" s="105">
        <f t="shared" si="10"/>
        <v>0</v>
      </c>
      <c r="BT8" s="105">
        <f t="shared" si="10"/>
        <v>0</v>
      </c>
      <c r="BU8" s="105">
        <f t="shared" si="10"/>
        <v>0</v>
      </c>
      <c r="BV8" s="105">
        <f t="shared" si="10"/>
        <v>0</v>
      </c>
    </row>
    <row r="9" spans="1:74">
      <c r="A9" t="s">
        <v>548</v>
      </c>
      <c r="B9" s="295">
        <f>I20</f>
        <v>634274.44069115049</v>
      </c>
      <c r="C9" s="145">
        <f>B9/$B$10</f>
        <v>0.45281045915885748</v>
      </c>
      <c r="D9" s="298">
        <f>I24</f>
        <v>12.865468227198511</v>
      </c>
      <c r="E9" s="297">
        <f>I25</f>
        <v>318.16902274589268</v>
      </c>
      <c r="G9" s="12" t="s">
        <v>530</v>
      </c>
      <c r="H9" s="321"/>
      <c r="I9" s="336">
        <f>SUM(J9:BV9)</f>
        <v>897000</v>
      </c>
      <c r="J9" s="336">
        <f>SUM(J6:J8)</f>
        <v>0</v>
      </c>
      <c r="K9" s="336">
        <f t="shared" ref="K9:BV9" si="11">SUM(K6:K8)</f>
        <v>90000</v>
      </c>
      <c r="L9" s="336">
        <f t="shared" si="11"/>
        <v>0</v>
      </c>
      <c r="M9" s="336">
        <f t="shared" si="11"/>
        <v>0</v>
      </c>
      <c r="N9" s="336">
        <f t="shared" si="11"/>
        <v>0</v>
      </c>
      <c r="O9" s="336">
        <f t="shared" si="11"/>
        <v>0</v>
      </c>
      <c r="P9" s="336">
        <f t="shared" si="11"/>
        <v>0</v>
      </c>
      <c r="Q9" s="336">
        <f t="shared" si="11"/>
        <v>0</v>
      </c>
      <c r="R9" s="336">
        <f t="shared" si="11"/>
        <v>0</v>
      </c>
      <c r="S9" s="336">
        <f t="shared" si="11"/>
        <v>100000</v>
      </c>
      <c r="T9" s="336">
        <f t="shared" si="11"/>
        <v>0</v>
      </c>
      <c r="U9" s="336">
        <f t="shared" si="11"/>
        <v>0</v>
      </c>
      <c r="V9" s="336">
        <f t="shared" si="11"/>
        <v>0</v>
      </c>
      <c r="W9" s="336">
        <f t="shared" si="11"/>
        <v>0</v>
      </c>
      <c r="X9" s="336">
        <f t="shared" si="11"/>
        <v>0</v>
      </c>
      <c r="Y9" s="336">
        <f t="shared" si="11"/>
        <v>0</v>
      </c>
      <c r="Z9" s="336">
        <f t="shared" si="11"/>
        <v>0</v>
      </c>
      <c r="AA9" s="336">
        <f t="shared" si="11"/>
        <v>0</v>
      </c>
      <c r="AB9" s="336">
        <f t="shared" si="11"/>
        <v>0</v>
      </c>
      <c r="AC9" s="336">
        <f t="shared" si="11"/>
        <v>0</v>
      </c>
      <c r="AD9" s="336">
        <f t="shared" si="11"/>
        <v>0</v>
      </c>
      <c r="AE9" s="336">
        <f t="shared" si="11"/>
        <v>0</v>
      </c>
      <c r="AF9" s="336">
        <f t="shared" si="11"/>
        <v>0</v>
      </c>
      <c r="AG9" s="336">
        <f t="shared" si="11"/>
        <v>0</v>
      </c>
      <c r="AH9" s="336">
        <f t="shared" si="11"/>
        <v>0</v>
      </c>
      <c r="AI9" s="336">
        <f t="shared" si="11"/>
        <v>0</v>
      </c>
      <c r="AJ9" s="336">
        <f t="shared" si="11"/>
        <v>0</v>
      </c>
      <c r="AK9" s="336">
        <f t="shared" si="11"/>
        <v>0</v>
      </c>
      <c r="AL9" s="336">
        <f t="shared" si="11"/>
        <v>0</v>
      </c>
      <c r="AM9" s="336">
        <f t="shared" si="11"/>
        <v>707000</v>
      </c>
      <c r="AN9" s="336">
        <f t="shared" si="11"/>
        <v>0</v>
      </c>
      <c r="AO9" s="336">
        <f t="shared" si="11"/>
        <v>0</v>
      </c>
      <c r="AP9" s="336">
        <f t="shared" si="11"/>
        <v>0</v>
      </c>
      <c r="AQ9" s="336">
        <f t="shared" si="11"/>
        <v>0</v>
      </c>
      <c r="AR9" s="336">
        <f t="shared" si="11"/>
        <v>0</v>
      </c>
      <c r="AS9" s="336">
        <f t="shared" si="11"/>
        <v>0</v>
      </c>
      <c r="AT9" s="336">
        <f t="shared" si="11"/>
        <v>0</v>
      </c>
      <c r="AU9" s="336">
        <f t="shared" si="11"/>
        <v>0</v>
      </c>
      <c r="AV9" s="336">
        <f t="shared" si="11"/>
        <v>0</v>
      </c>
      <c r="AW9" s="336">
        <f t="shared" si="11"/>
        <v>0</v>
      </c>
      <c r="AX9" s="336">
        <f t="shared" si="11"/>
        <v>0</v>
      </c>
      <c r="AY9" s="336">
        <f t="shared" si="11"/>
        <v>0</v>
      </c>
      <c r="AZ9" s="336">
        <f t="shared" si="11"/>
        <v>0</v>
      </c>
      <c r="BA9" s="336">
        <f t="shared" si="11"/>
        <v>0</v>
      </c>
      <c r="BB9" s="336">
        <f t="shared" si="11"/>
        <v>0</v>
      </c>
      <c r="BC9" s="336">
        <f t="shared" si="11"/>
        <v>0</v>
      </c>
      <c r="BD9" s="336">
        <f t="shared" si="11"/>
        <v>0</v>
      </c>
      <c r="BE9" s="336">
        <f t="shared" si="11"/>
        <v>0</v>
      </c>
      <c r="BF9" s="336">
        <f t="shared" si="11"/>
        <v>0</v>
      </c>
      <c r="BG9" s="336">
        <f t="shared" si="11"/>
        <v>0</v>
      </c>
      <c r="BH9" s="336">
        <f t="shared" si="11"/>
        <v>0</v>
      </c>
      <c r="BI9" s="336">
        <f t="shared" si="11"/>
        <v>0</v>
      </c>
      <c r="BJ9" s="336">
        <f t="shared" si="11"/>
        <v>0</v>
      </c>
      <c r="BK9" s="336">
        <f t="shared" si="11"/>
        <v>0</v>
      </c>
      <c r="BL9" s="336">
        <f t="shared" si="11"/>
        <v>0</v>
      </c>
      <c r="BM9" s="336">
        <f t="shared" si="11"/>
        <v>0</v>
      </c>
      <c r="BN9" s="336">
        <f t="shared" si="11"/>
        <v>0</v>
      </c>
      <c r="BO9" s="336">
        <f t="shared" si="11"/>
        <v>0</v>
      </c>
      <c r="BP9" s="336">
        <f t="shared" si="11"/>
        <v>0</v>
      </c>
      <c r="BQ9" s="336">
        <f t="shared" si="11"/>
        <v>0</v>
      </c>
      <c r="BR9" s="336">
        <f t="shared" si="11"/>
        <v>0</v>
      </c>
      <c r="BS9" s="336">
        <f t="shared" si="11"/>
        <v>0</v>
      </c>
      <c r="BT9" s="336">
        <f t="shared" si="11"/>
        <v>0</v>
      </c>
      <c r="BU9" s="336">
        <f t="shared" si="11"/>
        <v>0</v>
      </c>
      <c r="BV9" s="336">
        <f t="shared" si="11"/>
        <v>0</v>
      </c>
    </row>
    <row r="10" spans="1:74">
      <c r="A10" t="s">
        <v>7</v>
      </c>
      <c r="B10" s="335">
        <f>SUM(B7:B9)</f>
        <v>1400750.4196554585</v>
      </c>
      <c r="C10" s="343">
        <f>B10/$B$10</f>
        <v>1</v>
      </c>
      <c r="D10" s="342">
        <f>SUMPRODUCT($C$7:$C$9,D7:D9)</f>
        <v>9.8757955077551518</v>
      </c>
      <c r="E10" s="342">
        <f>SUMPRODUCT($C$7:$C$9,E7:E9)</f>
        <v>252.66609787817816</v>
      </c>
      <c r="G10" s="12"/>
      <c r="H10" s="12"/>
      <c r="I10" s="232"/>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c r="AI10" s="105"/>
      <c r="AJ10" s="105"/>
      <c r="AK10" s="105"/>
      <c r="AL10" s="105"/>
      <c r="AM10" s="105"/>
      <c r="AN10" s="105"/>
      <c r="AO10" s="105"/>
      <c r="AP10" s="105"/>
      <c r="AQ10" s="105"/>
      <c r="AR10" s="105"/>
      <c r="AS10" s="105"/>
      <c r="AT10" s="105"/>
      <c r="AU10" s="105"/>
      <c r="AV10" s="105"/>
      <c r="AW10" s="105"/>
      <c r="AX10" s="105"/>
      <c r="AY10" s="105"/>
      <c r="AZ10" s="105"/>
      <c r="BA10" s="105"/>
      <c r="BB10" s="105"/>
      <c r="BC10" s="105"/>
      <c r="BD10" s="105"/>
      <c r="BE10" s="105"/>
      <c r="BF10" s="105"/>
      <c r="BG10" s="105"/>
      <c r="BH10" s="105"/>
      <c r="BI10" s="105"/>
      <c r="BJ10" s="105"/>
      <c r="BK10" s="105"/>
      <c r="BL10" s="105"/>
      <c r="BM10" s="105"/>
      <c r="BN10" s="105"/>
      <c r="BO10" s="105"/>
      <c r="BP10" s="105"/>
      <c r="BQ10" s="105"/>
      <c r="BR10" s="105"/>
      <c r="BS10" s="105"/>
      <c r="BT10" s="105"/>
      <c r="BU10" s="105"/>
      <c r="BV10" s="105"/>
    </row>
    <row r="11" spans="1:74" hidden="1" outlineLevel="1">
      <c r="G11" s="12" t="s">
        <v>525</v>
      </c>
      <c r="H11" s="12"/>
      <c r="I11" s="341">
        <f>SUM(J11:BV11)</f>
        <v>316475.97896430804</v>
      </c>
      <c r="J11" s="105">
        <f t="shared" ref="J11:AO11" si="12">J9/( 1 + J$35) ^ J4</f>
        <v>0</v>
      </c>
      <c r="K11" s="105">
        <f t="shared" si="12"/>
        <v>81570.492276833291</v>
      </c>
      <c r="L11" s="105">
        <f t="shared" si="12"/>
        <v>0</v>
      </c>
      <c r="M11" s="105">
        <f t="shared" si="12"/>
        <v>0</v>
      </c>
      <c r="N11" s="105">
        <f t="shared" si="12"/>
        <v>0</v>
      </c>
      <c r="O11" s="105">
        <f t="shared" si="12"/>
        <v>0</v>
      </c>
      <c r="P11" s="105">
        <f t="shared" si="12"/>
        <v>0</v>
      </c>
      <c r="Q11" s="105">
        <f t="shared" si="12"/>
        <v>0</v>
      </c>
      <c r="R11" s="105">
        <f t="shared" si="12"/>
        <v>0</v>
      </c>
      <c r="S11" s="105">
        <f t="shared" si="12"/>
        <v>63173.244633087495</v>
      </c>
      <c r="T11" s="105">
        <f t="shared" si="12"/>
        <v>0</v>
      </c>
      <c r="U11" s="105">
        <f t="shared" si="12"/>
        <v>0</v>
      </c>
      <c r="V11" s="105">
        <f t="shared" si="12"/>
        <v>0</v>
      </c>
      <c r="W11" s="105">
        <f t="shared" si="12"/>
        <v>0</v>
      </c>
      <c r="X11" s="105">
        <f t="shared" si="12"/>
        <v>0</v>
      </c>
      <c r="Y11" s="105">
        <f t="shared" si="12"/>
        <v>0</v>
      </c>
      <c r="Z11" s="105">
        <f t="shared" si="12"/>
        <v>0</v>
      </c>
      <c r="AA11" s="105">
        <f t="shared" si="12"/>
        <v>0</v>
      </c>
      <c r="AB11" s="105">
        <f t="shared" si="12"/>
        <v>0</v>
      </c>
      <c r="AC11" s="105">
        <f t="shared" si="12"/>
        <v>0</v>
      </c>
      <c r="AD11" s="105">
        <f t="shared" si="12"/>
        <v>0</v>
      </c>
      <c r="AE11" s="105">
        <f t="shared" si="12"/>
        <v>0</v>
      </c>
      <c r="AF11" s="105">
        <f t="shared" si="12"/>
        <v>0</v>
      </c>
      <c r="AG11" s="105">
        <f t="shared" si="12"/>
        <v>0</v>
      </c>
      <c r="AH11" s="105">
        <f t="shared" si="12"/>
        <v>0</v>
      </c>
      <c r="AI11" s="105">
        <f t="shared" si="12"/>
        <v>0</v>
      </c>
      <c r="AJ11" s="105">
        <f t="shared" si="12"/>
        <v>0</v>
      </c>
      <c r="AK11" s="105">
        <f t="shared" si="12"/>
        <v>0</v>
      </c>
      <c r="AL11" s="105">
        <f t="shared" si="12"/>
        <v>0</v>
      </c>
      <c r="AM11" s="105">
        <f t="shared" si="12"/>
        <v>171732.24205438726</v>
      </c>
      <c r="AN11" s="105">
        <f t="shared" si="12"/>
        <v>0</v>
      </c>
      <c r="AO11" s="105">
        <f t="shared" si="12"/>
        <v>0</v>
      </c>
      <c r="AP11" s="105">
        <f t="shared" ref="AP11:BV11" si="13">AP9/( 1 + AP$35) ^ AP4</f>
        <v>0</v>
      </c>
      <c r="AQ11" s="105">
        <f t="shared" si="13"/>
        <v>0</v>
      </c>
      <c r="AR11" s="105">
        <f t="shared" si="13"/>
        <v>0</v>
      </c>
      <c r="AS11" s="105">
        <f t="shared" si="13"/>
        <v>0</v>
      </c>
      <c r="AT11" s="105">
        <f t="shared" si="13"/>
        <v>0</v>
      </c>
      <c r="AU11" s="105">
        <f t="shared" si="13"/>
        <v>0</v>
      </c>
      <c r="AV11" s="105">
        <f t="shared" si="13"/>
        <v>0</v>
      </c>
      <c r="AW11" s="105">
        <f t="shared" si="13"/>
        <v>0</v>
      </c>
      <c r="AX11" s="105">
        <f t="shared" si="13"/>
        <v>0</v>
      </c>
      <c r="AY11" s="105">
        <f t="shared" si="13"/>
        <v>0</v>
      </c>
      <c r="AZ11" s="105">
        <f t="shared" si="13"/>
        <v>0</v>
      </c>
      <c r="BA11" s="105">
        <f t="shared" si="13"/>
        <v>0</v>
      </c>
      <c r="BB11" s="105">
        <f t="shared" si="13"/>
        <v>0</v>
      </c>
      <c r="BC11" s="105">
        <f t="shared" si="13"/>
        <v>0</v>
      </c>
      <c r="BD11" s="105">
        <f t="shared" si="13"/>
        <v>0</v>
      </c>
      <c r="BE11" s="105">
        <f t="shared" si="13"/>
        <v>0</v>
      </c>
      <c r="BF11" s="105">
        <f t="shared" si="13"/>
        <v>0</v>
      </c>
      <c r="BG11" s="105">
        <f t="shared" si="13"/>
        <v>0</v>
      </c>
      <c r="BH11" s="105">
        <f t="shared" si="13"/>
        <v>0</v>
      </c>
      <c r="BI11" s="105">
        <f t="shared" si="13"/>
        <v>0</v>
      </c>
      <c r="BJ11" s="105">
        <f t="shared" si="13"/>
        <v>0</v>
      </c>
      <c r="BK11" s="105">
        <f t="shared" si="13"/>
        <v>0</v>
      </c>
      <c r="BL11" s="105">
        <f t="shared" si="13"/>
        <v>0</v>
      </c>
      <c r="BM11" s="105">
        <f t="shared" si="13"/>
        <v>0</v>
      </c>
      <c r="BN11" s="105">
        <f t="shared" si="13"/>
        <v>0</v>
      </c>
      <c r="BO11" s="105">
        <f t="shared" si="13"/>
        <v>0</v>
      </c>
      <c r="BP11" s="105">
        <f t="shared" si="13"/>
        <v>0</v>
      </c>
      <c r="BQ11" s="105">
        <f t="shared" si="13"/>
        <v>0</v>
      </c>
      <c r="BR11" s="105">
        <f t="shared" si="13"/>
        <v>0</v>
      </c>
      <c r="BS11" s="105">
        <f t="shared" si="13"/>
        <v>0</v>
      </c>
      <c r="BT11" s="105">
        <f t="shared" si="13"/>
        <v>0</v>
      </c>
      <c r="BU11" s="105">
        <f t="shared" si="13"/>
        <v>0</v>
      </c>
      <c r="BV11" s="105">
        <f t="shared" si="13"/>
        <v>0</v>
      </c>
    </row>
    <row r="12" spans="1:74" hidden="1" outlineLevel="1">
      <c r="G12" s="12" t="s">
        <v>507</v>
      </c>
      <c r="H12" s="12"/>
      <c r="I12" s="329">
        <f>change</f>
        <v>1E-4</v>
      </c>
      <c r="J12" s="105"/>
      <c r="K12" s="105"/>
      <c r="L12" s="105"/>
      <c r="M12" s="105"/>
      <c r="N12" s="105"/>
      <c r="O12" s="105"/>
      <c r="P12" s="105"/>
      <c r="Q12" s="105"/>
      <c r="R12" s="105"/>
      <c r="S12" s="105"/>
      <c r="T12" s="105"/>
      <c r="U12" s="105"/>
      <c r="V12" s="105"/>
      <c r="W12" s="105"/>
      <c r="X12" s="105"/>
      <c r="Y12" s="105"/>
      <c r="Z12" s="105"/>
      <c r="AA12" s="105"/>
      <c r="AB12" s="105"/>
      <c r="AC12" s="105"/>
      <c r="AD12" s="105"/>
      <c r="AE12" s="105"/>
      <c r="AF12" s="105"/>
      <c r="AG12" s="105"/>
      <c r="AH12" s="105"/>
      <c r="AI12" s="105"/>
      <c r="AJ12" s="105"/>
      <c r="AK12" s="105"/>
      <c r="AL12" s="105"/>
      <c r="AM12" s="105"/>
      <c r="AN12" s="105"/>
      <c r="AO12" s="105"/>
      <c r="AP12" s="105"/>
      <c r="AQ12" s="105"/>
      <c r="AR12" s="105"/>
      <c r="AS12" s="105"/>
      <c r="AT12" s="105"/>
      <c r="AU12" s="105"/>
      <c r="AV12" s="105"/>
      <c r="AW12" s="105"/>
      <c r="AX12" s="105"/>
      <c r="AY12" s="105"/>
      <c r="AZ12" s="105"/>
      <c r="BA12" s="105"/>
      <c r="BB12" s="105"/>
      <c r="BC12" s="105"/>
      <c r="BD12" s="105"/>
      <c r="BE12" s="105"/>
      <c r="BF12" s="105"/>
      <c r="BG12" s="105"/>
      <c r="BH12" s="105"/>
      <c r="BI12" s="105"/>
      <c r="BJ12" s="105"/>
      <c r="BK12" s="105"/>
      <c r="BL12" s="105"/>
      <c r="BM12" s="105"/>
      <c r="BN12" s="105"/>
      <c r="BO12" s="105"/>
      <c r="BP12" s="105"/>
      <c r="BQ12" s="105"/>
      <c r="BR12" s="105"/>
      <c r="BS12" s="105"/>
      <c r="BT12" s="105"/>
      <c r="BU12" s="105"/>
      <c r="BV12" s="105"/>
    </row>
    <row r="13" spans="1:74" hidden="1" outlineLevel="1">
      <c r="G13" s="12" t="s">
        <v>509</v>
      </c>
      <c r="H13" s="12"/>
      <c r="I13" s="12">
        <v>317044.06824641483</v>
      </c>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c r="AI13" s="105"/>
      <c r="AJ13" s="105"/>
      <c r="AK13" s="105"/>
      <c r="AL13" s="105"/>
      <c r="AM13" s="105"/>
      <c r="AN13" s="105"/>
      <c r="AO13" s="105"/>
      <c r="AP13" s="105"/>
      <c r="AQ13" s="105"/>
      <c r="AR13" s="105"/>
      <c r="AS13" s="105"/>
      <c r="AT13" s="105"/>
      <c r="AU13" s="105"/>
      <c r="AV13" s="105"/>
      <c r="AW13" s="105"/>
      <c r="AX13" s="105"/>
      <c r="AY13" s="105"/>
      <c r="AZ13" s="105"/>
      <c r="BA13" s="105"/>
      <c r="BB13" s="105"/>
      <c r="BC13" s="105"/>
      <c r="BD13" s="105"/>
      <c r="BE13" s="105"/>
      <c r="BF13" s="105"/>
      <c r="BG13" s="105"/>
      <c r="BH13" s="105"/>
      <c r="BI13" s="105"/>
      <c r="BJ13" s="105"/>
      <c r="BK13" s="105"/>
      <c r="BL13" s="105"/>
      <c r="BM13" s="105"/>
      <c r="BN13" s="105"/>
      <c r="BO13" s="105"/>
      <c r="BP13" s="105"/>
      <c r="BQ13" s="105"/>
      <c r="BR13" s="105"/>
      <c r="BS13" s="105"/>
      <c r="BT13" s="105"/>
      <c r="BU13" s="105"/>
      <c r="BV13" s="105"/>
    </row>
    <row r="14" spans="1:74" hidden="1" outlineLevel="1">
      <c r="G14" s="12" t="s">
        <v>508</v>
      </c>
      <c r="H14" s="12"/>
      <c r="I14" s="12">
        <v>315909.41083883814</v>
      </c>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c r="AI14" s="105"/>
      <c r="AJ14" s="105"/>
      <c r="AK14" s="105"/>
      <c r="AL14" s="105"/>
      <c r="AM14" s="105"/>
      <c r="AN14" s="105"/>
      <c r="AO14" s="105"/>
      <c r="AP14" s="105"/>
      <c r="AQ14" s="105"/>
      <c r="AR14" s="105"/>
      <c r="AS14" s="105"/>
      <c r="AT14" s="105"/>
      <c r="AU14" s="105"/>
      <c r="AV14" s="105"/>
      <c r="AW14" s="105"/>
      <c r="AX14" s="105"/>
      <c r="AY14" s="105"/>
      <c r="AZ14" s="105"/>
      <c r="BA14" s="105"/>
      <c r="BB14" s="105"/>
      <c r="BC14" s="105"/>
      <c r="BD14" s="105"/>
      <c r="BE14" s="105"/>
      <c r="BF14" s="105"/>
      <c r="BG14" s="105"/>
      <c r="BH14" s="105"/>
      <c r="BI14" s="105"/>
      <c r="BJ14" s="105"/>
      <c r="BK14" s="105"/>
      <c r="BL14" s="105"/>
      <c r="BM14" s="105"/>
      <c r="BN14" s="105"/>
      <c r="BO14" s="105"/>
      <c r="BP14" s="105"/>
      <c r="BQ14" s="105"/>
      <c r="BR14" s="105"/>
      <c r="BS14" s="105"/>
      <c r="BT14" s="105"/>
      <c r="BU14" s="105"/>
      <c r="BV14" s="105"/>
    </row>
    <row r="15" spans="1:74" hidden="1" outlineLevel="1">
      <c r="G15" s="104" t="s">
        <v>546</v>
      </c>
      <c r="H15" s="12"/>
      <c r="I15" s="339">
        <f>(I13-I14)/ (2 * I12 * npv_bonds)</f>
        <v>17.926438071065256</v>
      </c>
      <c r="J15" s="105"/>
      <c r="K15" s="105"/>
      <c r="L15" s="105"/>
      <c r="M15" s="105"/>
      <c r="N15" s="105"/>
      <c r="O15" s="105"/>
      <c r="P15" s="105"/>
      <c r="Q15" s="105"/>
      <c r="R15" s="105"/>
      <c r="S15" s="105"/>
      <c r="T15" s="105"/>
      <c r="U15" s="105"/>
      <c r="V15" s="105"/>
      <c r="W15" s="105"/>
      <c r="X15" s="105"/>
      <c r="Y15" s="105"/>
      <c r="Z15" s="105"/>
      <c r="AA15" s="105"/>
      <c r="AB15" s="105"/>
      <c r="AC15" s="105"/>
      <c r="AD15" s="105"/>
      <c r="AE15" s="105"/>
      <c r="AF15" s="105"/>
      <c r="AG15" s="105"/>
      <c r="AH15" s="105"/>
      <c r="AI15" s="105"/>
      <c r="AJ15" s="105"/>
      <c r="AK15" s="105"/>
      <c r="AL15" s="105"/>
      <c r="AM15" s="105"/>
      <c r="AN15" s="105"/>
      <c r="AO15" s="105"/>
      <c r="AP15" s="105"/>
      <c r="AQ15" s="105"/>
      <c r="AR15" s="105"/>
      <c r="AS15" s="105"/>
      <c r="AT15" s="105"/>
      <c r="AU15" s="105"/>
      <c r="AV15" s="105"/>
      <c r="AW15" s="105"/>
      <c r="AX15" s="105"/>
      <c r="AY15" s="105"/>
      <c r="AZ15" s="105"/>
      <c r="BA15" s="105"/>
      <c r="BB15" s="105"/>
      <c r="BC15" s="105"/>
      <c r="BD15" s="105"/>
      <c r="BE15" s="105"/>
      <c r="BF15" s="105"/>
      <c r="BG15" s="105"/>
      <c r="BH15" s="105"/>
      <c r="BI15" s="105"/>
      <c r="BJ15" s="105"/>
      <c r="BK15" s="105"/>
      <c r="BL15" s="105"/>
      <c r="BM15" s="105"/>
      <c r="BN15" s="105"/>
      <c r="BO15" s="105"/>
      <c r="BP15" s="105"/>
      <c r="BQ15" s="105"/>
      <c r="BR15" s="105"/>
      <c r="BS15" s="105"/>
      <c r="BT15" s="105"/>
      <c r="BU15" s="105"/>
      <c r="BV15" s="105"/>
    </row>
    <row r="16" spans="1:74" hidden="1" outlineLevel="1">
      <c r="G16" s="104" t="s">
        <v>547</v>
      </c>
      <c r="H16" s="12"/>
      <c r="I16" s="340">
        <f>(pv_down_b + I14 - (2 * npv_bonds )) / (I12^2 * npv_bonds)</f>
        <v>480.65469040011942</v>
      </c>
      <c r="J16" s="105"/>
      <c r="K16" s="105"/>
      <c r="L16" s="105"/>
      <c r="M16" s="105"/>
      <c r="N16" s="105"/>
      <c r="O16" s="105"/>
      <c r="P16" s="105"/>
      <c r="Q16" s="105"/>
      <c r="R16" s="105"/>
      <c r="S16" s="105"/>
      <c r="T16" s="105"/>
      <c r="U16" s="105"/>
      <c r="V16" s="105"/>
      <c r="W16" s="105"/>
      <c r="X16" s="105"/>
      <c r="Y16" s="105"/>
      <c r="Z16" s="105"/>
      <c r="AA16" s="105"/>
      <c r="AB16" s="105"/>
      <c r="AC16" s="105"/>
      <c r="AD16" s="105"/>
      <c r="AE16" s="105"/>
      <c r="AF16" s="105"/>
      <c r="AG16" s="105"/>
      <c r="AH16" s="105"/>
      <c r="AI16" s="105"/>
      <c r="AJ16" s="105"/>
      <c r="AK16" s="105"/>
      <c r="AL16" s="105"/>
      <c r="AM16" s="105"/>
      <c r="AN16" s="105"/>
      <c r="AO16" s="105"/>
      <c r="AP16" s="105"/>
      <c r="AQ16" s="105"/>
      <c r="AR16" s="105"/>
      <c r="AS16" s="105"/>
      <c r="AT16" s="105"/>
      <c r="AU16" s="105"/>
      <c r="AV16" s="105"/>
      <c r="AW16" s="105"/>
      <c r="AX16" s="105"/>
      <c r="AY16" s="105"/>
      <c r="AZ16" s="105"/>
      <c r="BA16" s="105"/>
      <c r="BB16" s="105"/>
      <c r="BC16" s="105"/>
      <c r="BD16" s="105"/>
      <c r="BE16" s="105"/>
      <c r="BF16" s="105"/>
      <c r="BG16" s="105"/>
      <c r="BH16" s="105"/>
      <c r="BI16" s="105"/>
      <c r="BJ16" s="105"/>
      <c r="BK16" s="105"/>
      <c r="BL16" s="105"/>
      <c r="BM16" s="105"/>
      <c r="BN16" s="105"/>
      <c r="BO16" s="105"/>
      <c r="BP16" s="105"/>
      <c r="BQ16" s="105"/>
      <c r="BR16" s="105"/>
      <c r="BS16" s="105"/>
      <c r="BT16" s="105"/>
      <c r="BU16" s="105"/>
      <c r="BV16" s="105"/>
    </row>
    <row r="17" spans="4:74" collapsed="1">
      <c r="G17" s="104"/>
      <c r="H17" s="12"/>
      <c r="I17" s="340"/>
      <c r="J17" s="105"/>
      <c r="K17" s="105"/>
      <c r="L17" s="105"/>
      <c r="M17" s="105"/>
      <c r="N17" s="105"/>
      <c r="O17" s="105"/>
      <c r="P17" s="105"/>
      <c r="Q17" s="105"/>
      <c r="R17" s="105"/>
      <c r="S17" s="105"/>
      <c r="T17" s="105"/>
      <c r="U17" s="105"/>
      <c r="V17" s="105"/>
      <c r="W17" s="105"/>
      <c r="X17" s="105"/>
      <c r="Y17" s="105"/>
      <c r="Z17" s="105"/>
      <c r="AA17" s="105"/>
      <c r="AB17" s="105"/>
      <c r="AC17" s="105"/>
      <c r="AD17" s="105"/>
      <c r="AE17" s="105"/>
      <c r="AF17" s="105"/>
      <c r="AG17" s="105"/>
      <c r="AH17" s="105"/>
      <c r="AI17" s="105"/>
      <c r="AJ17" s="105"/>
      <c r="AK17" s="105"/>
      <c r="AL17" s="105"/>
      <c r="AM17" s="105"/>
      <c r="AN17" s="105"/>
      <c r="AO17" s="105"/>
      <c r="AP17" s="105"/>
      <c r="AQ17" s="105"/>
      <c r="AR17" s="105"/>
      <c r="AS17" s="105"/>
      <c r="AT17" s="105"/>
      <c r="AU17" s="105"/>
      <c r="AV17" s="105"/>
      <c r="AW17" s="105"/>
      <c r="AX17" s="105"/>
      <c r="AY17" s="105"/>
      <c r="AZ17" s="105"/>
      <c r="BA17" s="105"/>
      <c r="BB17" s="105"/>
      <c r="BC17" s="105"/>
      <c r="BD17" s="105"/>
      <c r="BE17" s="105"/>
      <c r="BF17" s="105"/>
      <c r="BG17" s="105"/>
      <c r="BH17" s="105"/>
      <c r="BI17" s="105"/>
      <c r="BJ17" s="105"/>
      <c r="BK17" s="105"/>
      <c r="BL17" s="105"/>
      <c r="BM17" s="105"/>
      <c r="BN17" s="105"/>
      <c r="BO17" s="105"/>
      <c r="BP17" s="105"/>
      <c r="BQ17" s="105"/>
      <c r="BR17" s="105"/>
      <c r="BS17" s="105"/>
      <c r="BT17" s="105"/>
      <c r="BU17" s="105"/>
      <c r="BV17" s="105"/>
    </row>
    <row r="18" spans="4:74">
      <c r="G18" s="12" t="s">
        <v>531</v>
      </c>
      <c r="H18" s="329"/>
      <c r="I18" s="105">
        <f>SUM(J18:BV18)</f>
        <v>1513636.3636363645</v>
      </c>
      <c r="J18" s="105">
        <f>'Plan CFs'!CC16</f>
        <v>55454.545454545441</v>
      </c>
      <c r="K18" s="105">
        <f>'Plan CFs'!CD16</f>
        <v>55454.545454545441</v>
      </c>
      <c r="L18" s="105">
        <f>'Plan CFs'!CE16</f>
        <v>55454.545454545441</v>
      </c>
      <c r="M18" s="105">
        <f>'Plan CFs'!CF16</f>
        <v>35454.545454545449</v>
      </c>
      <c r="N18" s="105">
        <f>'Plan CFs'!CG16</f>
        <v>35454.545454545449</v>
      </c>
      <c r="O18" s="105">
        <f>'Plan CFs'!CH16</f>
        <v>35454.545454545449</v>
      </c>
      <c r="P18" s="105">
        <f>'Plan CFs'!CI16</f>
        <v>35454.545454545449</v>
      </c>
      <c r="Q18" s="105">
        <f>'Plan CFs'!CJ16</f>
        <v>35454.545454545449</v>
      </c>
      <c r="R18" s="105">
        <f>'Plan CFs'!CK16</f>
        <v>35454.545454545449</v>
      </c>
      <c r="S18" s="105">
        <f>'Plan CFs'!CL16</f>
        <v>35454.545454545449</v>
      </c>
      <c r="T18" s="105">
        <f>'Plan CFs'!CM16</f>
        <v>35454.545454545449</v>
      </c>
      <c r="U18" s="105">
        <f>'Plan CFs'!CN16</f>
        <v>35454.545454545449</v>
      </c>
      <c r="V18" s="105">
        <f>'Plan CFs'!CO16</f>
        <v>35454.545454545449</v>
      </c>
      <c r="W18" s="105">
        <f>'Plan CFs'!CP16</f>
        <v>35454.545454545449</v>
      </c>
      <c r="X18" s="105">
        <f>'Plan CFs'!CQ16</f>
        <v>35454.545454545449</v>
      </c>
      <c r="Y18" s="105">
        <f>'Plan CFs'!CR16</f>
        <v>35454.545454545449</v>
      </c>
      <c r="Z18" s="105">
        <f>'Plan CFs'!CS16</f>
        <v>35454.545454545449</v>
      </c>
      <c r="AA18" s="105">
        <f>'Plan CFs'!CT16</f>
        <v>33636.363636363632</v>
      </c>
      <c r="AB18" s="105">
        <f>'Plan CFs'!CU16</f>
        <v>31818.181818181816</v>
      </c>
      <c r="AC18" s="105">
        <f>'Plan CFs'!CV16</f>
        <v>22727.272727272728</v>
      </c>
      <c r="AD18" s="105">
        <f>'Plan CFs'!CW16</f>
        <v>22727.272727272728</v>
      </c>
      <c r="AE18" s="105">
        <f>'Plan CFs'!CX16</f>
        <v>22727.272727272728</v>
      </c>
      <c r="AF18" s="105">
        <f>'Plan CFs'!CY16</f>
        <v>22727.272727272728</v>
      </c>
      <c r="AG18" s="105">
        <f>'Plan CFs'!CZ16</f>
        <v>22727.272727272728</v>
      </c>
      <c r="AH18" s="105">
        <f>'Plan CFs'!DA16</f>
        <v>22727.272727272728</v>
      </c>
      <c r="AI18" s="105">
        <f>'Plan CFs'!DB16</f>
        <v>22727.272727272728</v>
      </c>
      <c r="AJ18" s="105">
        <f>'Plan CFs'!DC16</f>
        <v>22727.272727272728</v>
      </c>
      <c r="AK18" s="105">
        <f>'Plan CFs'!DD16</f>
        <v>22727.272727272728</v>
      </c>
      <c r="AL18" s="105">
        <f>'Plan CFs'!DE16</f>
        <v>22727.272727272728</v>
      </c>
      <c r="AM18" s="105">
        <f>'Plan CFs'!DF16</f>
        <v>22727.272727272728</v>
      </c>
      <c r="AN18" s="105">
        <f>'Plan CFs'!DG16</f>
        <v>22727.272727272728</v>
      </c>
      <c r="AO18" s="105">
        <f>'Plan CFs'!DH16</f>
        <v>22727.272727272728</v>
      </c>
      <c r="AP18" s="105">
        <f>'Plan CFs'!DI16</f>
        <v>22727.272727272728</v>
      </c>
      <c r="AQ18" s="105">
        <f>'Plan CFs'!DJ16</f>
        <v>22727.272727272728</v>
      </c>
      <c r="AR18" s="105">
        <f>'Plan CFs'!DK16</f>
        <v>22727.272727272728</v>
      </c>
      <c r="AS18" s="105">
        <f>'Plan CFs'!DL16</f>
        <v>22727.272727272728</v>
      </c>
      <c r="AT18" s="105">
        <f>'Plan CFs'!DM16</f>
        <v>22727.272727272728</v>
      </c>
      <c r="AU18" s="105">
        <f>'Plan CFs'!DN16</f>
        <v>18181.818181818184</v>
      </c>
      <c r="AV18" s="105">
        <f>'Plan CFs'!DO16</f>
        <v>16363.636363636364</v>
      </c>
      <c r="AW18" s="105">
        <f>'Plan CFs'!DP16</f>
        <v>16363.636363636364</v>
      </c>
      <c r="AX18" s="105">
        <f>'Plan CFs'!DQ16</f>
        <v>16363.636363636364</v>
      </c>
      <c r="AY18" s="105">
        <f>'Plan CFs'!DR16</f>
        <v>16363.636363636364</v>
      </c>
      <c r="AZ18" s="105">
        <f>'Plan CFs'!DS16</f>
        <v>16363.636363636364</v>
      </c>
      <c r="BA18" s="105">
        <f>'Plan CFs'!DT16</f>
        <v>16363.636363636364</v>
      </c>
      <c r="BB18" s="105">
        <f>'Plan CFs'!DU16</f>
        <v>16363.636363636364</v>
      </c>
      <c r="BC18" s="105">
        <f>'Plan CFs'!DV16</f>
        <v>16363.636363636364</v>
      </c>
      <c r="BD18" s="105">
        <f>'Plan CFs'!DW16</f>
        <v>14545.454545454546</v>
      </c>
      <c r="BE18" s="105">
        <f>'Plan CFs'!DX16</f>
        <v>14545.454545454546</v>
      </c>
      <c r="BF18" s="105">
        <f>'Plan CFs'!DY16</f>
        <v>14545.454545454546</v>
      </c>
      <c r="BG18" s="105">
        <f>'Plan CFs'!DZ16</f>
        <v>14545.454545454546</v>
      </c>
      <c r="BH18" s="105">
        <f>'Plan CFs'!EA16</f>
        <v>14545.454545454546</v>
      </c>
      <c r="BI18" s="105">
        <f>'Plan CFs'!EB16</f>
        <v>14545.454545454546</v>
      </c>
      <c r="BJ18" s="105">
        <f>'Plan CFs'!EC16</f>
        <v>14545.454545454546</v>
      </c>
      <c r="BK18" s="105">
        <f>'Plan CFs'!ED16</f>
        <v>14545.454545454546</v>
      </c>
      <c r="BL18" s="105">
        <f>'Plan CFs'!EE16</f>
        <v>14545.454545454546</v>
      </c>
      <c r="BM18" s="105">
        <f>'Plan CFs'!EF16</f>
        <v>14545.454545454546</v>
      </c>
      <c r="BN18" s="105">
        <f>'Plan CFs'!EG16</f>
        <v>14545.454545454546</v>
      </c>
      <c r="BO18" s="105">
        <f>'Plan CFs'!EH16</f>
        <v>14545.454545454546</v>
      </c>
      <c r="BP18" s="105">
        <f>'Plan CFs'!EI16</f>
        <v>14545.454545454546</v>
      </c>
      <c r="BQ18" s="105">
        <f>'Plan CFs'!EJ16</f>
        <v>12727.272727272728</v>
      </c>
      <c r="BR18" s="105">
        <f>'Plan CFs'!EK16</f>
        <v>12727.272727272728</v>
      </c>
      <c r="BS18" s="105">
        <f>'Plan CFs'!EL16</f>
        <v>12727.272727272728</v>
      </c>
      <c r="BT18" s="105">
        <f>'Plan CFs'!EM16</f>
        <v>0</v>
      </c>
      <c r="BU18" s="105">
        <f>'Plan CFs'!EN16</f>
        <v>0</v>
      </c>
      <c r="BV18" s="105">
        <f>'Plan CFs'!EO16</f>
        <v>0</v>
      </c>
    </row>
    <row r="19" spans="4:74">
      <c r="G19" s="12"/>
      <c r="H19" s="329"/>
      <c r="I19" s="105"/>
      <c r="J19" s="105"/>
      <c r="K19" s="105"/>
      <c r="L19" s="105"/>
      <c r="M19" s="105"/>
      <c r="N19" s="105"/>
      <c r="O19" s="105"/>
      <c r="P19" s="105"/>
      <c r="Q19" s="105"/>
      <c r="R19" s="105"/>
      <c r="S19" s="105"/>
      <c r="T19" s="105"/>
      <c r="U19" s="105"/>
      <c r="V19" s="105"/>
      <c r="W19" s="105"/>
      <c r="X19" s="105"/>
      <c r="Y19" s="105"/>
      <c r="Z19" s="105"/>
      <c r="AA19" s="105"/>
      <c r="AB19" s="105"/>
      <c r="AC19" s="105"/>
      <c r="AD19" s="105"/>
      <c r="AE19" s="105"/>
      <c r="AF19" s="105"/>
      <c r="AG19" s="105"/>
      <c r="AH19" s="105"/>
      <c r="AI19" s="105"/>
      <c r="AJ19" s="105"/>
      <c r="AK19" s="105"/>
      <c r="AL19" s="105"/>
      <c r="AM19" s="105"/>
      <c r="AN19" s="105"/>
      <c r="AO19" s="105"/>
      <c r="AP19" s="105"/>
      <c r="AQ19" s="105"/>
      <c r="AR19" s="105"/>
      <c r="AS19" s="105"/>
      <c r="AT19" s="105"/>
      <c r="AU19" s="105"/>
      <c r="AV19" s="105"/>
      <c r="AW19" s="105"/>
      <c r="AX19" s="105"/>
      <c r="AY19" s="105"/>
      <c r="AZ19" s="105"/>
      <c r="BA19" s="105"/>
      <c r="BB19" s="105"/>
      <c r="BC19" s="105"/>
      <c r="BD19" s="105"/>
      <c r="BE19" s="105"/>
      <c r="BF19" s="105"/>
      <c r="BG19" s="105"/>
      <c r="BH19" s="105"/>
      <c r="BI19" s="105"/>
      <c r="BJ19" s="105"/>
      <c r="BK19" s="105"/>
      <c r="BL19" s="105"/>
      <c r="BM19" s="105"/>
      <c r="BN19" s="105"/>
      <c r="BO19" s="105"/>
      <c r="BP19" s="105"/>
      <c r="BQ19" s="105"/>
      <c r="BR19" s="105"/>
      <c r="BS19" s="105"/>
      <c r="BT19" s="105"/>
      <c r="BU19" s="105"/>
      <c r="BV19" s="105"/>
    </row>
    <row r="20" spans="4:74" hidden="1" outlineLevel="1">
      <c r="G20" s="12" t="s">
        <v>549</v>
      </c>
      <c r="H20" s="12"/>
      <c r="I20" s="105">
        <f>SUM(J20:BV20)</f>
        <v>634274.44069115049</v>
      </c>
      <c r="J20" s="105">
        <f>J18/(1 + J$35) ^ J$4</f>
        <v>52593.46116705751</v>
      </c>
      <c r="K20" s="105">
        <f t="shared" ref="K20:AO20" si="14">K18/(1 + K$35) ^ K$4</f>
        <v>50260.60635239222</v>
      </c>
      <c r="L20" s="105">
        <f t="shared" si="14"/>
        <v>48017.959134358796</v>
      </c>
      <c r="M20" s="105">
        <f t="shared" si="14"/>
        <v>29399.321144348207</v>
      </c>
      <c r="N20" s="105">
        <f t="shared" si="14"/>
        <v>28220.246375987215</v>
      </c>
      <c r="O20" s="105">
        <f t="shared" si="14"/>
        <v>26951.88908507035</v>
      </c>
      <c r="P20" s="105">
        <f t="shared" si="14"/>
        <v>25737.587832130626</v>
      </c>
      <c r="Q20" s="105">
        <f t="shared" si="14"/>
        <v>24575.179476248795</v>
      </c>
      <c r="R20" s="105">
        <f t="shared" si="14"/>
        <v>23462.58098115055</v>
      </c>
      <c r="S20" s="105">
        <f t="shared" si="14"/>
        <v>22397.786733549197</v>
      </c>
      <c r="T20" s="105">
        <f t="shared" si="14"/>
        <v>21333.997788235338</v>
      </c>
      <c r="U20" s="105">
        <f t="shared" si="14"/>
        <v>20310.660130517375</v>
      </c>
      <c r="V20" s="105">
        <f t="shared" si="14"/>
        <v>19326.827251257946</v>
      </c>
      <c r="W20" s="105">
        <f t="shared" si="14"/>
        <v>18381.540416366297</v>
      </c>
      <c r="X20" s="105">
        <f t="shared" si="14"/>
        <v>17473.83115485833</v>
      </c>
      <c r="Y20" s="105">
        <f t="shared" si="14"/>
        <v>16602.723647576848</v>
      </c>
      <c r="Z20" s="105">
        <f t="shared" si="14"/>
        <v>15767.23701448891</v>
      </c>
      <c r="AA20" s="105">
        <f t="shared" si="14"/>
        <v>14198.880447702039</v>
      </c>
      <c r="AB20" s="105">
        <f t="shared" si="14"/>
        <v>12742.863311944675</v>
      </c>
      <c r="AC20" s="105">
        <f t="shared" si="14"/>
        <v>8631.1940932845755</v>
      </c>
      <c r="AD20" s="105">
        <f t="shared" si="14"/>
        <v>8244.7354851265645</v>
      </c>
      <c r="AE20" s="105">
        <f t="shared" si="14"/>
        <v>7877.5343306939822</v>
      </c>
      <c r="AF20" s="105">
        <f t="shared" si="14"/>
        <v>7528.5551498107934</v>
      </c>
      <c r="AG20" s="105">
        <f t="shared" si="14"/>
        <v>7196.8216735200058</v>
      </c>
      <c r="AH20" s="105">
        <f t="shared" si="14"/>
        <v>6881.4132780268947</v>
      </c>
      <c r="AI20" s="105">
        <f t="shared" si="14"/>
        <v>6581.4616433104147</v>
      </c>
      <c r="AJ20" s="105">
        <f t="shared" si="14"/>
        <v>6296.1476216718838</v>
      </c>
      <c r="AK20" s="105">
        <f t="shared" si="14"/>
        <v>6024.6983024909041</v>
      </c>
      <c r="AL20" s="105">
        <f t="shared" si="14"/>
        <v>5766.3842603900312</v>
      </c>
      <c r="AM20" s="105">
        <f t="shared" si="14"/>
        <v>5520.516974874221</v>
      </c>
      <c r="AN20" s="105">
        <f t="shared" si="14"/>
        <v>5262.3807849519899</v>
      </c>
      <c r="AO20" s="105">
        <f t="shared" si="14"/>
        <v>5016.082565092921</v>
      </c>
      <c r="AP20" s="105">
        <f t="shared" ref="AP20:BV20" si="15">AP18/(1 + AP$35) ^ AP$4</f>
        <v>4781.0905442773255</v>
      </c>
      <c r="AQ20" s="105">
        <f t="shared" si="15"/>
        <v>4556.8963167918801</v>
      </c>
      <c r="AR20" s="105">
        <f t="shared" si="15"/>
        <v>4343.0138396961047</v>
      </c>
      <c r="AS20" s="105">
        <f t="shared" si="15"/>
        <v>4138.9784722131035</v>
      </c>
      <c r="AT20" s="105">
        <f t="shared" si="15"/>
        <v>3944.346055339096</v>
      </c>
      <c r="AU20" s="105">
        <f t="shared" si="15"/>
        <v>3006.9536240280418</v>
      </c>
      <c r="AV20" s="105">
        <f t="shared" si="15"/>
        <v>2578.7596265474458</v>
      </c>
      <c r="AW20" s="105">
        <f t="shared" si="15"/>
        <v>2457.1539968432749</v>
      </c>
      <c r="AX20" s="105">
        <f t="shared" si="15"/>
        <v>2341.1744775840816</v>
      </c>
      <c r="AY20" s="105">
        <f t="shared" si="15"/>
        <v>2230.5660020078631</v>
      </c>
      <c r="AZ20" s="105">
        <f t="shared" si="15"/>
        <v>2125.0848193947763</v>
      </c>
      <c r="BA20" s="105">
        <f t="shared" si="15"/>
        <v>2024.4980045647035</v>
      </c>
      <c r="BB20" s="105">
        <f t="shared" si="15"/>
        <v>1928.5829881093962</v>
      </c>
      <c r="BC20" s="105">
        <f t="shared" si="15"/>
        <v>1837.1271065054502</v>
      </c>
      <c r="BD20" s="105">
        <f t="shared" si="15"/>
        <v>1555.4908189246016</v>
      </c>
      <c r="BE20" s="105">
        <f t="shared" si="15"/>
        <v>1481.5902724565772</v>
      </c>
      <c r="BF20" s="105">
        <f t="shared" si="15"/>
        <v>1411.1353810778589</v>
      </c>
      <c r="BG20" s="105">
        <f t="shared" si="15"/>
        <v>1343.9686610505344</v>
      </c>
      <c r="BH20" s="105">
        <f t="shared" si="15"/>
        <v>1279.9396749758116</v>
      </c>
      <c r="BI20" s="105">
        <f t="shared" si="15"/>
        <v>1218.90472362374</v>
      </c>
      <c r="BJ20" s="105">
        <f t="shared" si="15"/>
        <v>1160.7265509132371</v>
      </c>
      <c r="BK20" s="105">
        <f t="shared" si="15"/>
        <v>1105.2740614963959</v>
      </c>
      <c r="BL20" s="105">
        <f t="shared" si="15"/>
        <v>1052.4220504224129</v>
      </c>
      <c r="BM20" s="105">
        <f t="shared" si="15"/>
        <v>1002.0509443781931</v>
      </c>
      <c r="BN20" s="105">
        <f t="shared" si="15"/>
        <v>954.04655402287619</v>
      </c>
      <c r="BO20" s="105">
        <f t="shared" si="15"/>
        <v>908.29983695275826</v>
      </c>
      <c r="BP20" s="105">
        <f t="shared" si="15"/>
        <v>864.70667085255934</v>
      </c>
      <c r="BQ20" s="105">
        <f t="shared" si="15"/>
        <v>720.27168185549488</v>
      </c>
      <c r="BR20" s="105">
        <f t="shared" si="15"/>
        <v>685.63933336406717</v>
      </c>
      <c r="BS20" s="105">
        <f t="shared" si="15"/>
        <v>652.64199239440848</v>
      </c>
      <c r="BT20" s="105">
        <f t="shared" si="15"/>
        <v>0</v>
      </c>
      <c r="BU20" s="105">
        <f t="shared" si="15"/>
        <v>0</v>
      </c>
      <c r="BV20" s="105">
        <f t="shared" si="15"/>
        <v>0</v>
      </c>
    </row>
    <row r="21" spans="4:74" hidden="1" outlineLevel="1">
      <c r="G21" s="12" t="s">
        <v>507</v>
      </c>
      <c r="H21" s="12"/>
      <c r="I21" s="329">
        <f>change</f>
        <v>1E-4</v>
      </c>
      <c r="J21" s="105"/>
      <c r="K21" s="105"/>
      <c r="L21" s="105"/>
      <c r="M21" s="105"/>
      <c r="N21" s="105"/>
      <c r="O21" s="105"/>
      <c r="P21" s="105"/>
      <c r="Q21" s="105"/>
      <c r="R21" s="105"/>
      <c r="S21" s="105"/>
      <c r="T21" s="105"/>
      <c r="U21" s="105"/>
      <c r="V21" s="105"/>
      <c r="W21" s="105"/>
      <c r="X21" s="105"/>
      <c r="Y21" s="105"/>
      <c r="Z21" s="105"/>
      <c r="AA21" s="105"/>
      <c r="AB21" s="105"/>
      <c r="AC21" s="105"/>
      <c r="AD21" s="105"/>
      <c r="AE21" s="105"/>
      <c r="AF21" s="105"/>
      <c r="AG21" s="105"/>
      <c r="AH21" s="105"/>
      <c r="AI21" s="105"/>
      <c r="AJ21" s="105"/>
      <c r="AK21" s="105"/>
      <c r="AL21" s="105"/>
      <c r="AM21" s="105"/>
      <c r="AN21" s="105"/>
      <c r="AO21" s="105"/>
      <c r="AP21" s="105"/>
      <c r="AQ21" s="105"/>
      <c r="AR21" s="105"/>
      <c r="AS21" s="105"/>
      <c r="AT21" s="105"/>
      <c r="AU21" s="105"/>
      <c r="AV21" s="105"/>
      <c r="AW21" s="105"/>
      <c r="AX21" s="105"/>
      <c r="AY21" s="105"/>
      <c r="AZ21" s="105"/>
      <c r="BA21" s="105"/>
      <c r="BB21" s="105"/>
      <c r="BC21" s="105"/>
      <c r="BD21" s="105"/>
      <c r="BE21" s="105"/>
      <c r="BF21" s="105"/>
      <c r="BG21" s="105"/>
      <c r="BH21" s="105"/>
      <c r="BI21" s="105"/>
      <c r="BJ21" s="105"/>
      <c r="BK21" s="105"/>
      <c r="BL21" s="105"/>
      <c r="BM21" s="105"/>
      <c r="BN21" s="105"/>
      <c r="BO21" s="105"/>
      <c r="BP21" s="105"/>
      <c r="BQ21" s="105"/>
      <c r="BR21" s="105"/>
      <c r="BS21" s="105"/>
      <c r="BT21" s="105"/>
      <c r="BU21" s="105"/>
      <c r="BV21" s="105"/>
    </row>
    <row r="22" spans="4:74" hidden="1" outlineLevel="1">
      <c r="G22" s="12" t="s">
        <v>509</v>
      </c>
      <c r="H22" s="12"/>
      <c r="I22" s="12">
        <v>635091.4734899489</v>
      </c>
      <c r="J22" s="105"/>
      <c r="K22" s="105"/>
      <c r="L22" s="105"/>
      <c r="M22" s="105"/>
      <c r="N22" s="105"/>
      <c r="O22" s="105"/>
      <c r="P22" s="105"/>
      <c r="Q22" s="105"/>
      <c r="R22" s="105"/>
      <c r="S22" s="105"/>
      <c r="T22" s="105"/>
      <c r="U22" s="105"/>
      <c r="V22" s="105"/>
      <c r="W22" s="105"/>
      <c r="X22" s="105"/>
      <c r="Y22" s="105"/>
      <c r="Z22" s="105"/>
      <c r="AA22" s="105"/>
      <c r="AB22" s="105"/>
      <c r="AC22" s="105"/>
      <c r="AD22" s="105"/>
      <c r="AE22" s="105"/>
      <c r="AF22" s="105"/>
      <c r="AG22" s="105"/>
      <c r="AH22" s="105"/>
      <c r="AI22" s="105"/>
      <c r="AJ22" s="105"/>
      <c r="AK22" s="105"/>
      <c r="AL22" s="105"/>
      <c r="AM22" s="105"/>
      <c r="AN22" s="105"/>
      <c r="AO22" s="105"/>
      <c r="AP22" s="105"/>
      <c r="AQ22" s="105"/>
      <c r="AR22" s="105"/>
      <c r="AS22" s="105"/>
      <c r="AT22" s="105"/>
      <c r="AU22" s="105"/>
      <c r="AV22" s="105"/>
      <c r="AW22" s="105"/>
      <c r="AX22" s="105"/>
      <c r="AY22" s="105"/>
      <c r="AZ22" s="105"/>
      <c r="BA22" s="105"/>
      <c r="BB22" s="105"/>
      <c r="BC22" s="105"/>
      <c r="BD22" s="105"/>
      <c r="BE22" s="105"/>
      <c r="BF22" s="105"/>
      <c r="BG22" s="105"/>
      <c r="BH22" s="105"/>
      <c r="BI22" s="105"/>
      <c r="BJ22" s="105"/>
      <c r="BK22" s="105"/>
      <c r="BL22" s="105"/>
      <c r="BM22" s="105"/>
      <c r="BN22" s="105"/>
      <c r="BO22" s="105"/>
      <c r="BP22" s="105"/>
      <c r="BQ22" s="105"/>
      <c r="BR22" s="105"/>
      <c r="BS22" s="105"/>
      <c r="BT22" s="105"/>
      <c r="BU22" s="105"/>
      <c r="BV22" s="105"/>
    </row>
    <row r="23" spans="4:74" hidden="1" outlineLevel="1">
      <c r="G23" s="12" t="s">
        <v>508</v>
      </c>
      <c r="H23" s="12"/>
      <c r="I23" s="12">
        <v>633459.42595714168</v>
      </c>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105"/>
      <c r="AM23" s="105"/>
      <c r="AN23" s="105"/>
      <c r="AO23" s="105"/>
      <c r="AP23" s="105"/>
      <c r="AQ23" s="105"/>
      <c r="AR23" s="105"/>
      <c r="AS23" s="105"/>
      <c r="AT23" s="105"/>
      <c r="AU23" s="105"/>
      <c r="AV23" s="105"/>
      <c r="AW23" s="105"/>
      <c r="AX23" s="105"/>
      <c r="AY23" s="105"/>
      <c r="AZ23" s="105"/>
      <c r="BA23" s="105"/>
      <c r="BB23" s="105"/>
      <c r="BC23" s="105"/>
      <c r="BD23" s="105"/>
      <c r="BE23" s="105"/>
      <c r="BF23" s="105"/>
      <c r="BG23" s="105"/>
      <c r="BH23" s="105"/>
      <c r="BI23" s="105"/>
      <c r="BJ23" s="105"/>
      <c r="BK23" s="105"/>
      <c r="BL23" s="105"/>
      <c r="BM23" s="105"/>
      <c r="BN23" s="105"/>
      <c r="BO23" s="105"/>
      <c r="BP23" s="105"/>
      <c r="BQ23" s="105"/>
      <c r="BR23" s="105"/>
      <c r="BS23" s="105"/>
      <c r="BT23" s="105"/>
      <c r="BU23" s="105"/>
      <c r="BV23" s="105"/>
    </row>
    <row r="24" spans="4:74" hidden="1" outlineLevel="1">
      <c r="G24" s="104" t="s">
        <v>546</v>
      </c>
      <c r="H24" s="12"/>
      <c r="I24" s="339">
        <f>(I22-I23)/ (2 * I21 * I20)</f>
        <v>12.865468227198511</v>
      </c>
      <c r="J24" s="105"/>
      <c r="K24" s="105"/>
      <c r="L24" s="105"/>
      <c r="M24" s="105"/>
      <c r="N24" s="105"/>
      <c r="O24" s="105"/>
      <c r="P24" s="105"/>
      <c r="Q24" s="105"/>
      <c r="R24" s="105"/>
      <c r="S24" s="105"/>
      <c r="T24" s="105"/>
      <c r="U24" s="105"/>
      <c r="V24" s="105"/>
      <c r="W24" s="105"/>
      <c r="X24" s="105"/>
      <c r="Y24" s="105"/>
      <c r="Z24" s="105"/>
      <c r="AA24" s="105"/>
      <c r="AB24" s="105"/>
      <c r="AC24" s="105"/>
      <c r="AD24" s="105"/>
      <c r="AE24" s="105"/>
      <c r="AF24" s="105"/>
      <c r="AG24" s="105"/>
      <c r="AH24" s="105"/>
      <c r="AI24" s="105"/>
      <c r="AJ24" s="105"/>
      <c r="AK24" s="105"/>
      <c r="AL24" s="105"/>
      <c r="AM24" s="105"/>
      <c r="AN24" s="105"/>
      <c r="AO24" s="105"/>
      <c r="AP24" s="105"/>
      <c r="AQ24" s="105"/>
      <c r="AR24" s="105"/>
      <c r="AS24" s="105"/>
      <c r="AT24" s="105"/>
      <c r="AU24" s="105"/>
      <c r="AV24" s="105"/>
      <c r="AW24" s="105"/>
      <c r="AX24" s="105"/>
      <c r="AY24" s="105"/>
      <c r="AZ24" s="105"/>
      <c r="BA24" s="105"/>
      <c r="BB24" s="105"/>
      <c r="BC24" s="105"/>
      <c r="BD24" s="105"/>
      <c r="BE24" s="105"/>
      <c r="BF24" s="105"/>
      <c r="BG24" s="105"/>
      <c r="BH24" s="105"/>
      <c r="BI24" s="105"/>
      <c r="BJ24" s="105"/>
      <c r="BK24" s="105"/>
      <c r="BL24" s="105"/>
      <c r="BM24" s="105"/>
      <c r="BN24" s="105"/>
      <c r="BO24" s="105"/>
      <c r="BP24" s="105"/>
      <c r="BQ24" s="105"/>
      <c r="BR24" s="105"/>
      <c r="BS24" s="105"/>
      <c r="BT24" s="105"/>
      <c r="BU24" s="105"/>
      <c r="BV24" s="105"/>
    </row>
    <row r="25" spans="4:74" hidden="1" outlineLevel="1">
      <c r="D25" s="318"/>
      <c r="E25" s="318"/>
      <c r="G25" s="104" t="s">
        <v>547</v>
      </c>
      <c r="H25" s="12"/>
      <c r="I25" s="340">
        <f>(I22 + I23 - (2 * I20 )) / (I21^2 * I20)</f>
        <v>318.16902274589268</v>
      </c>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c r="AI25" s="105"/>
      <c r="AJ25" s="105"/>
      <c r="AK25" s="105"/>
      <c r="AL25" s="105"/>
      <c r="AM25" s="105"/>
      <c r="AN25" s="105"/>
      <c r="AO25" s="105"/>
      <c r="AP25" s="105"/>
      <c r="AQ25" s="105"/>
      <c r="AR25" s="105"/>
      <c r="AS25" s="105"/>
      <c r="AT25" s="105"/>
      <c r="AU25" s="105"/>
      <c r="AV25" s="105"/>
      <c r="AW25" s="105"/>
      <c r="AX25" s="105"/>
      <c r="AY25" s="105"/>
      <c r="AZ25" s="105"/>
      <c r="BA25" s="105"/>
      <c r="BB25" s="105"/>
      <c r="BC25" s="105"/>
      <c r="BD25" s="105"/>
      <c r="BE25" s="105"/>
      <c r="BF25" s="105"/>
      <c r="BG25" s="105"/>
      <c r="BH25" s="105"/>
      <c r="BI25" s="105"/>
      <c r="BJ25" s="105"/>
      <c r="BK25" s="105"/>
      <c r="BL25" s="105"/>
      <c r="BM25" s="105"/>
      <c r="BN25" s="105"/>
      <c r="BO25" s="105"/>
      <c r="BP25" s="105"/>
      <c r="BQ25" s="105"/>
      <c r="BR25" s="105"/>
      <c r="BS25" s="105"/>
      <c r="BT25" s="105"/>
      <c r="BU25" s="105"/>
      <c r="BV25" s="105"/>
    </row>
    <row r="26" spans="4:74" collapsed="1">
      <c r="D26" s="318"/>
      <c r="E26" s="318"/>
      <c r="G26" s="12"/>
      <c r="H26" s="12"/>
      <c r="I26" s="231"/>
      <c r="J26" s="105"/>
      <c r="K26" s="105"/>
      <c r="L26" s="105"/>
      <c r="M26" s="105"/>
      <c r="N26" s="105"/>
      <c r="O26" s="105"/>
      <c r="P26" s="105"/>
      <c r="Q26" s="105"/>
      <c r="R26" s="105"/>
      <c r="S26" s="105"/>
      <c r="T26" s="105"/>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row>
    <row r="27" spans="4:74">
      <c r="G27" s="12" t="s">
        <v>532</v>
      </c>
      <c r="H27" s="12"/>
      <c r="I27" s="105">
        <f t="shared" si="6"/>
        <v>2410636.3636363638</v>
      </c>
      <c r="J27" s="105">
        <f t="shared" ref="J27:AO27" si="16">SUM(J18,J9)</f>
        <v>55454.545454545441</v>
      </c>
      <c r="K27" s="105">
        <f t="shared" si="16"/>
        <v>145454.54545454544</v>
      </c>
      <c r="L27" s="105">
        <f t="shared" si="16"/>
        <v>55454.545454545441</v>
      </c>
      <c r="M27" s="105">
        <f t="shared" si="16"/>
        <v>35454.545454545449</v>
      </c>
      <c r="N27" s="105">
        <f t="shared" si="16"/>
        <v>35454.545454545449</v>
      </c>
      <c r="O27" s="105">
        <f t="shared" si="16"/>
        <v>35454.545454545449</v>
      </c>
      <c r="P27" s="105">
        <f t="shared" si="16"/>
        <v>35454.545454545449</v>
      </c>
      <c r="Q27" s="105">
        <f t="shared" si="16"/>
        <v>35454.545454545449</v>
      </c>
      <c r="R27" s="105">
        <f t="shared" si="16"/>
        <v>35454.545454545449</v>
      </c>
      <c r="S27" s="105">
        <f t="shared" si="16"/>
        <v>135454.54545454544</v>
      </c>
      <c r="T27" s="105">
        <f t="shared" si="16"/>
        <v>35454.545454545449</v>
      </c>
      <c r="U27" s="105">
        <f t="shared" si="16"/>
        <v>35454.545454545449</v>
      </c>
      <c r="V27" s="105">
        <f t="shared" si="16"/>
        <v>35454.545454545449</v>
      </c>
      <c r="W27" s="105">
        <f t="shared" si="16"/>
        <v>35454.545454545449</v>
      </c>
      <c r="X27" s="105">
        <f t="shared" si="16"/>
        <v>35454.545454545449</v>
      </c>
      <c r="Y27" s="105">
        <f t="shared" si="16"/>
        <v>35454.545454545449</v>
      </c>
      <c r="Z27" s="105">
        <f t="shared" si="16"/>
        <v>35454.545454545449</v>
      </c>
      <c r="AA27" s="105">
        <f t="shared" si="16"/>
        <v>33636.363636363632</v>
      </c>
      <c r="AB27" s="105">
        <f t="shared" si="16"/>
        <v>31818.181818181816</v>
      </c>
      <c r="AC27" s="105">
        <f t="shared" si="16"/>
        <v>22727.272727272728</v>
      </c>
      <c r="AD27" s="105">
        <f t="shared" si="16"/>
        <v>22727.272727272728</v>
      </c>
      <c r="AE27" s="105">
        <f t="shared" si="16"/>
        <v>22727.272727272728</v>
      </c>
      <c r="AF27" s="105">
        <f t="shared" si="16"/>
        <v>22727.272727272728</v>
      </c>
      <c r="AG27" s="105">
        <f t="shared" si="16"/>
        <v>22727.272727272728</v>
      </c>
      <c r="AH27" s="105">
        <f t="shared" si="16"/>
        <v>22727.272727272728</v>
      </c>
      <c r="AI27" s="105">
        <f t="shared" si="16"/>
        <v>22727.272727272728</v>
      </c>
      <c r="AJ27" s="105">
        <f t="shared" si="16"/>
        <v>22727.272727272728</v>
      </c>
      <c r="AK27" s="105">
        <f t="shared" si="16"/>
        <v>22727.272727272728</v>
      </c>
      <c r="AL27" s="105">
        <f t="shared" si="16"/>
        <v>22727.272727272728</v>
      </c>
      <c r="AM27" s="105">
        <f t="shared" si="16"/>
        <v>729727.27272727271</v>
      </c>
      <c r="AN27" s="105">
        <f t="shared" si="16"/>
        <v>22727.272727272728</v>
      </c>
      <c r="AO27" s="105">
        <f t="shared" si="16"/>
        <v>22727.272727272728</v>
      </c>
      <c r="AP27" s="105">
        <f t="shared" ref="AP27:BV27" si="17">SUM(AP18,AP9)</f>
        <v>22727.272727272728</v>
      </c>
      <c r="AQ27" s="105">
        <f t="shared" si="17"/>
        <v>22727.272727272728</v>
      </c>
      <c r="AR27" s="105">
        <f t="shared" si="17"/>
        <v>22727.272727272728</v>
      </c>
      <c r="AS27" s="105">
        <f t="shared" si="17"/>
        <v>22727.272727272728</v>
      </c>
      <c r="AT27" s="105">
        <f t="shared" si="17"/>
        <v>22727.272727272728</v>
      </c>
      <c r="AU27" s="105">
        <f t="shared" si="17"/>
        <v>18181.818181818184</v>
      </c>
      <c r="AV27" s="105">
        <f t="shared" si="17"/>
        <v>16363.636363636364</v>
      </c>
      <c r="AW27" s="105">
        <f t="shared" si="17"/>
        <v>16363.636363636364</v>
      </c>
      <c r="AX27" s="105">
        <f t="shared" si="17"/>
        <v>16363.636363636364</v>
      </c>
      <c r="AY27" s="105">
        <f t="shared" si="17"/>
        <v>16363.636363636364</v>
      </c>
      <c r="AZ27" s="105">
        <f t="shared" si="17"/>
        <v>16363.636363636364</v>
      </c>
      <c r="BA27" s="105">
        <f t="shared" si="17"/>
        <v>16363.636363636364</v>
      </c>
      <c r="BB27" s="105">
        <f t="shared" si="17"/>
        <v>16363.636363636364</v>
      </c>
      <c r="BC27" s="105">
        <f t="shared" si="17"/>
        <v>16363.636363636364</v>
      </c>
      <c r="BD27" s="105">
        <f t="shared" si="17"/>
        <v>14545.454545454546</v>
      </c>
      <c r="BE27" s="105">
        <f t="shared" si="17"/>
        <v>14545.454545454546</v>
      </c>
      <c r="BF27" s="105">
        <f t="shared" si="17"/>
        <v>14545.454545454546</v>
      </c>
      <c r="BG27" s="105">
        <f t="shared" si="17"/>
        <v>14545.454545454546</v>
      </c>
      <c r="BH27" s="105">
        <f t="shared" si="17"/>
        <v>14545.454545454546</v>
      </c>
      <c r="BI27" s="105">
        <f t="shared" si="17"/>
        <v>14545.454545454546</v>
      </c>
      <c r="BJ27" s="105">
        <f t="shared" si="17"/>
        <v>14545.454545454546</v>
      </c>
      <c r="BK27" s="105">
        <f t="shared" si="17"/>
        <v>14545.454545454546</v>
      </c>
      <c r="BL27" s="105">
        <f t="shared" si="17"/>
        <v>14545.454545454546</v>
      </c>
      <c r="BM27" s="105">
        <f t="shared" si="17"/>
        <v>14545.454545454546</v>
      </c>
      <c r="BN27" s="105">
        <f t="shared" si="17"/>
        <v>14545.454545454546</v>
      </c>
      <c r="BO27" s="105">
        <f t="shared" si="17"/>
        <v>14545.454545454546</v>
      </c>
      <c r="BP27" s="105">
        <f t="shared" si="17"/>
        <v>14545.454545454546</v>
      </c>
      <c r="BQ27" s="105">
        <f t="shared" si="17"/>
        <v>12727.272727272728</v>
      </c>
      <c r="BR27" s="105">
        <f t="shared" si="17"/>
        <v>12727.272727272728</v>
      </c>
      <c r="BS27" s="105">
        <f t="shared" si="17"/>
        <v>12727.272727272728</v>
      </c>
      <c r="BT27" s="105">
        <f t="shared" si="17"/>
        <v>0</v>
      </c>
      <c r="BU27" s="105">
        <f t="shared" si="17"/>
        <v>0</v>
      </c>
      <c r="BV27" s="105">
        <f t="shared" si="17"/>
        <v>0</v>
      </c>
    </row>
    <row r="28" spans="4:74">
      <c r="G28" s="12"/>
      <c r="H28" s="12"/>
      <c r="I28" s="105"/>
      <c r="J28" s="105"/>
      <c r="K28" s="105"/>
      <c r="L28" s="105"/>
      <c r="M28" s="105"/>
      <c r="N28" s="105"/>
      <c r="O28" s="105"/>
      <c r="P28" s="105"/>
      <c r="Q28" s="105"/>
      <c r="R28" s="105"/>
      <c r="S28" s="105"/>
      <c r="T28" s="105"/>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row>
    <row r="29" spans="4:74" hidden="1" outlineLevel="1">
      <c r="G29" s="12" t="s">
        <v>537</v>
      </c>
      <c r="H29" s="331"/>
      <c r="I29" s="231"/>
      <c r="J29" s="338">
        <f>( (_xlfn.XLOOKUP(J$4,Dashboard!$C$32:$C$38,Dashboard!$H$32:$H$38,,1 ) - _xlfn.XLOOKUP(J$4,Dashboard!$C$32:$C$38,Dashboard!$H$32:$H$38,,-1) ) )</f>
        <v>0</v>
      </c>
      <c r="K29" s="338">
        <f>( (_xlfn.XLOOKUP(K$4,Dashboard!$C$32:$C$38,Dashboard!$H$32:$H$38,,1 ) - _xlfn.XLOOKUP(K$4,Dashboard!$C$32:$C$38,Dashboard!$H$32:$H$38,,-1) ) )</f>
        <v>0</v>
      </c>
      <c r="L29" s="338">
        <f>( (_xlfn.XLOOKUP(L$4,Dashboard!$C$32:$C$38,Dashboard!$H$32:$H$38,,1 ) - _xlfn.XLOOKUP(L$4,Dashboard!$C$32:$C$38,Dashboard!$H$32:$H$38,,-1) ) )</f>
        <v>-3.7000000000000019E-3</v>
      </c>
      <c r="M29" s="338">
        <f>( (_xlfn.XLOOKUP(M$4,Dashboard!$C$32:$C$38,Dashboard!$H$32:$H$38,,1 ) - _xlfn.XLOOKUP(M$4,Dashboard!$C$32:$C$38,Dashboard!$H$32:$H$38,,-1) ) )</f>
        <v>-3.7000000000000019E-3</v>
      </c>
      <c r="N29" s="338">
        <f>( (_xlfn.XLOOKUP(N$4,Dashboard!$C$32:$C$38,Dashboard!$H$32:$H$38,,1 ) - _xlfn.XLOOKUP(N$4,Dashboard!$C$32:$C$38,Dashboard!$H$32:$H$38,,-1) ) )</f>
        <v>0</v>
      </c>
      <c r="O29" s="338">
        <f>( (_xlfn.XLOOKUP(O$4,Dashboard!$C$32:$C$38,Dashboard!$H$32:$H$38,,1 ) - _xlfn.XLOOKUP(O$4,Dashboard!$C$32:$C$38,Dashboard!$H$32:$H$38,,-1) ) )</f>
        <v>3.0000000000000165E-4</v>
      </c>
      <c r="P29" s="338">
        <f>( (_xlfn.XLOOKUP(P$4,Dashboard!$C$32:$C$38,Dashboard!$H$32:$H$38,,1 ) - _xlfn.XLOOKUP(P$4,Dashboard!$C$32:$C$38,Dashboard!$H$32:$H$38,,-1) ) )</f>
        <v>3.0000000000000165E-4</v>
      </c>
      <c r="Q29" s="338">
        <f>( (_xlfn.XLOOKUP(Q$4,Dashboard!$C$32:$C$38,Dashboard!$H$32:$H$38,,1 ) - _xlfn.XLOOKUP(Q$4,Dashboard!$C$32:$C$38,Dashboard!$H$32:$H$38,,-1) ) )</f>
        <v>3.0000000000000165E-4</v>
      </c>
      <c r="R29" s="338">
        <f>( (_xlfn.XLOOKUP(R$4,Dashboard!$C$32:$C$38,Dashboard!$H$32:$H$38,,1 ) - _xlfn.XLOOKUP(R$4,Dashboard!$C$32:$C$38,Dashboard!$H$32:$H$38,,-1) ) )</f>
        <v>3.0000000000000165E-4</v>
      </c>
      <c r="S29" s="338">
        <f>( (_xlfn.XLOOKUP(S$4,Dashboard!$C$32:$C$38,Dashboard!$H$32:$H$38,,1 ) - _xlfn.XLOOKUP(S$4,Dashboard!$C$32:$C$38,Dashboard!$H$32:$H$38,,-1) ) )</f>
        <v>0</v>
      </c>
      <c r="T29" s="338">
        <f>( (_xlfn.XLOOKUP(T$4,Dashboard!$C$32:$C$38,Dashboard!$H$32:$H$38,,1 ) - _xlfn.XLOOKUP(T$4,Dashboard!$C$32:$C$38,Dashboard!$H$32:$H$38,,-1) ) )</f>
        <v>2.5999999999999981E-3</v>
      </c>
      <c r="U29" s="338">
        <f>( (_xlfn.XLOOKUP(U$4,Dashboard!$C$32:$C$38,Dashboard!$H$32:$H$38,,1 ) - _xlfn.XLOOKUP(U$4,Dashboard!$C$32:$C$38,Dashboard!$H$32:$H$38,,-1) ) )</f>
        <v>2.5999999999999981E-3</v>
      </c>
      <c r="V29" s="338">
        <f>( (_xlfn.XLOOKUP(V$4,Dashboard!$C$32:$C$38,Dashboard!$H$32:$H$38,,1 ) - _xlfn.XLOOKUP(V$4,Dashboard!$C$32:$C$38,Dashboard!$H$32:$H$38,,-1) ) )</f>
        <v>2.5999999999999981E-3</v>
      </c>
      <c r="W29" s="338">
        <f>( (_xlfn.XLOOKUP(W$4,Dashboard!$C$32:$C$38,Dashboard!$H$32:$H$38,,1 ) - _xlfn.XLOOKUP(W$4,Dashboard!$C$32:$C$38,Dashboard!$H$32:$H$38,,-1) ) )</f>
        <v>2.5999999999999981E-3</v>
      </c>
      <c r="X29" s="338">
        <f>( (_xlfn.XLOOKUP(X$4,Dashboard!$C$32:$C$38,Dashboard!$H$32:$H$38,,1 ) - _xlfn.XLOOKUP(X$4,Dashboard!$C$32:$C$38,Dashboard!$H$32:$H$38,,-1) ) )</f>
        <v>2.5999999999999981E-3</v>
      </c>
      <c r="Y29" s="338">
        <f>( (_xlfn.XLOOKUP(Y$4,Dashboard!$C$32:$C$38,Dashboard!$H$32:$H$38,,1 ) - _xlfn.XLOOKUP(Y$4,Dashboard!$C$32:$C$38,Dashboard!$H$32:$H$38,,-1) ) )</f>
        <v>2.5999999999999981E-3</v>
      </c>
      <c r="Z29" s="338">
        <f>( (_xlfn.XLOOKUP(Z$4,Dashboard!$C$32:$C$38,Dashboard!$H$32:$H$38,,1 ) - _xlfn.XLOOKUP(Z$4,Dashboard!$C$32:$C$38,Dashboard!$H$32:$H$38,,-1) ) )</f>
        <v>2.5999999999999981E-3</v>
      </c>
      <c r="AA29" s="338">
        <f>( (_xlfn.XLOOKUP(AA$4,Dashboard!$C$32:$C$38,Dashboard!$H$32:$H$38,,1 ) - _xlfn.XLOOKUP(AA$4,Dashboard!$C$32:$C$38,Dashboard!$H$32:$H$38,,-1) ) )</f>
        <v>2.5999999999999981E-3</v>
      </c>
      <c r="AB29" s="338">
        <f>( (_xlfn.XLOOKUP(AB$4,Dashboard!$C$32:$C$38,Dashboard!$H$32:$H$38,,1 ) - _xlfn.XLOOKUP(AB$4,Dashboard!$C$32:$C$38,Dashboard!$H$32:$H$38,,-1) ) )</f>
        <v>2.5999999999999981E-3</v>
      </c>
      <c r="AC29" s="338">
        <f>( (_xlfn.XLOOKUP(AC$4,Dashboard!$C$32:$C$38,Dashboard!$H$32:$H$38,,1 ) - _xlfn.XLOOKUP(AC$4,Dashboard!$C$32:$C$38,Dashboard!$H$32:$H$38,,-1) ) )</f>
        <v>0</v>
      </c>
      <c r="AD29" s="338">
        <f>( (_xlfn.XLOOKUP(AD$4,Dashboard!$C$32:$C$38,Dashboard!$H$32:$H$38,,1 ) - _xlfn.XLOOKUP(AD$4,Dashboard!$C$32:$C$38,Dashboard!$H$32:$H$38,,-1) ) )</f>
        <v>-1.3000000000000025E-3</v>
      </c>
      <c r="AE29" s="338">
        <f>( (_xlfn.XLOOKUP(AE$4,Dashboard!$C$32:$C$38,Dashboard!$H$32:$H$38,,1 ) - _xlfn.XLOOKUP(AE$4,Dashboard!$C$32:$C$38,Dashboard!$H$32:$H$38,,-1) ) )</f>
        <v>-1.3000000000000025E-3</v>
      </c>
      <c r="AF29" s="338">
        <f>( (_xlfn.XLOOKUP(AF$4,Dashboard!$C$32:$C$38,Dashboard!$H$32:$H$38,,1 ) - _xlfn.XLOOKUP(AF$4,Dashboard!$C$32:$C$38,Dashboard!$H$32:$H$38,,-1) ) )</f>
        <v>-1.3000000000000025E-3</v>
      </c>
      <c r="AG29" s="338">
        <f>( (_xlfn.XLOOKUP(AG$4,Dashboard!$C$32:$C$38,Dashboard!$H$32:$H$38,,1 ) - _xlfn.XLOOKUP(AG$4,Dashboard!$C$32:$C$38,Dashboard!$H$32:$H$38,,-1) ) )</f>
        <v>-1.3000000000000025E-3</v>
      </c>
      <c r="AH29" s="338">
        <f>( (_xlfn.XLOOKUP(AH$4,Dashboard!$C$32:$C$38,Dashboard!$H$32:$H$38,,1 ) - _xlfn.XLOOKUP(AH$4,Dashboard!$C$32:$C$38,Dashboard!$H$32:$H$38,,-1) ) )</f>
        <v>-1.3000000000000025E-3</v>
      </c>
      <c r="AI29" s="338">
        <f>( (_xlfn.XLOOKUP(AI$4,Dashboard!$C$32:$C$38,Dashboard!$H$32:$H$38,,1 ) - _xlfn.XLOOKUP(AI$4,Dashboard!$C$32:$C$38,Dashboard!$H$32:$H$38,,-1) ) )</f>
        <v>-1.3000000000000025E-3</v>
      </c>
      <c r="AJ29" s="338">
        <f>( (_xlfn.XLOOKUP(AJ$4,Dashboard!$C$32:$C$38,Dashboard!$H$32:$H$38,,1 ) - _xlfn.XLOOKUP(AJ$4,Dashboard!$C$32:$C$38,Dashboard!$H$32:$H$38,,-1) ) )</f>
        <v>-1.3000000000000025E-3</v>
      </c>
      <c r="AK29" s="338">
        <f>( (_xlfn.XLOOKUP(AK$4,Dashboard!$C$32:$C$38,Dashboard!$H$32:$H$38,,1 ) - _xlfn.XLOOKUP(AK$4,Dashboard!$C$32:$C$38,Dashboard!$H$32:$H$38,,-1) ) )</f>
        <v>-1.3000000000000025E-3</v>
      </c>
      <c r="AL29" s="338">
        <f>( (_xlfn.XLOOKUP(AL$4,Dashboard!$C$32:$C$38,Dashboard!$H$32:$H$38,,1 ) - _xlfn.XLOOKUP(AL$4,Dashboard!$C$32:$C$38,Dashboard!$H$32:$H$38,,-1) ) )</f>
        <v>-1.3000000000000025E-3</v>
      </c>
      <c r="AM29" s="338">
        <f>( (_xlfn.XLOOKUP(AM$4,Dashboard!$C$32:$C$38,Dashboard!$H$32:$H$38,,1 ) - _xlfn.XLOOKUP(AM$4,Dashboard!$C$32:$C$38,Dashboard!$H$32:$H$38,,-1) ) )</f>
        <v>0</v>
      </c>
      <c r="AN29" s="338">
        <f>( (_xlfn.XLOOKUP(AN$4,Dashboard!$C$32:$C$38,Dashboard!$H$32:$H$38,,1 ) - _xlfn.XLOOKUP(AN$4,Dashboard!$C$32:$C$38,Dashboard!$H$32:$H$38,,-1) ) )</f>
        <v>1.7000000000000001E-3</v>
      </c>
      <c r="AO29" s="338">
        <f>( (_xlfn.XLOOKUP(AO$4,Dashboard!$C$32:$C$38,Dashboard!$H$32:$H$38,,1 ) - _xlfn.XLOOKUP(AO$4,Dashboard!$C$32:$C$38,Dashboard!$H$32:$H$38,,-1) ) )</f>
        <v>1.7000000000000001E-3</v>
      </c>
      <c r="AP29" s="338">
        <f>( (_xlfn.XLOOKUP(AP$4,Dashboard!$C$32:$C$38,Dashboard!$H$32:$H$38,,1 ) - _xlfn.XLOOKUP(AP$4,Dashboard!$C$32:$C$38,Dashboard!$H$32:$H$38,,-1) ) )</f>
        <v>1.7000000000000001E-3</v>
      </c>
      <c r="AQ29" s="338">
        <f>( (_xlfn.XLOOKUP(AQ$4,Dashboard!$C$32:$C$38,Dashboard!$H$32:$H$38,,1 ) - _xlfn.XLOOKUP(AQ$4,Dashboard!$C$32:$C$38,Dashboard!$H$32:$H$38,,-1) ) )</f>
        <v>1.7000000000000001E-3</v>
      </c>
      <c r="AR29" s="338">
        <f>( (_xlfn.XLOOKUP(AR$4,Dashboard!$C$32:$C$38,Dashboard!$H$32:$H$38,,1 ) - _xlfn.XLOOKUP(AR$4,Dashboard!$C$32:$C$38,Dashboard!$H$32:$H$38,,-1) ) )</f>
        <v>1.7000000000000001E-3</v>
      </c>
      <c r="AS29" s="338">
        <f>( (_xlfn.XLOOKUP(AS$4,Dashboard!$C$32:$C$38,Dashboard!$H$32:$H$38,,1 ) - _xlfn.XLOOKUP(AS$4,Dashboard!$C$32:$C$38,Dashboard!$H$32:$H$38,,-1) ) )</f>
        <v>1.7000000000000001E-3</v>
      </c>
      <c r="AT29" s="338">
        <f>( (_xlfn.XLOOKUP(AT$4,Dashboard!$C$32:$C$38,Dashboard!$H$32:$H$38,,1 ) - _xlfn.XLOOKUP(AT$4,Dashboard!$C$32:$C$38,Dashboard!$H$32:$H$38,,-1) ) )</f>
        <v>1.7000000000000001E-3</v>
      </c>
      <c r="AU29" s="338">
        <f>( (_xlfn.XLOOKUP(AU$4,Dashboard!$C$32:$C$38,Dashboard!$H$32:$H$38,,1 ) - _xlfn.XLOOKUP(AU$4,Dashboard!$C$32:$C$38,Dashboard!$H$32:$H$38,,-1) ) )</f>
        <v>1.7000000000000001E-3</v>
      </c>
      <c r="AV29" s="338">
        <f>( (_xlfn.XLOOKUP(AV$4,Dashboard!$C$32:$C$38,Dashboard!$H$32:$H$38,,1 ) - _xlfn.XLOOKUP(AV$4,Dashboard!$C$32:$C$38,Dashboard!$H$32:$H$38,,-1) ) )</f>
        <v>1.7000000000000001E-3</v>
      </c>
      <c r="AW29" s="338">
        <f>( (_xlfn.XLOOKUP(AW$4,Dashboard!$C$32:$C$38,Dashboard!$H$32:$H$38,,1 ) - _xlfn.XLOOKUP(AW$4,Dashboard!$C$32:$C$38,Dashboard!$H$32:$H$38,,-1) ) )</f>
        <v>1.7000000000000001E-3</v>
      </c>
      <c r="AX29" s="338">
        <f>( (_xlfn.XLOOKUP(AX$4,Dashboard!$C$32:$C$38,Dashboard!$H$32:$H$38,,1 ) - _xlfn.XLOOKUP(AX$4,Dashboard!$C$32:$C$38,Dashboard!$H$32:$H$38,,-1) ) )</f>
        <v>1.7000000000000001E-3</v>
      </c>
      <c r="AY29" s="338">
        <f>( (_xlfn.XLOOKUP(AY$4,Dashboard!$C$32:$C$38,Dashboard!$H$32:$H$38,,1 ) - _xlfn.XLOOKUP(AY$4,Dashboard!$C$32:$C$38,Dashboard!$H$32:$H$38,,-1) ) )</f>
        <v>1.7000000000000001E-3</v>
      </c>
      <c r="AZ29" s="338">
        <f>( (_xlfn.XLOOKUP(AZ$4,Dashboard!$C$32:$C$38,Dashboard!$H$32:$H$38,,1 ) - _xlfn.XLOOKUP(AZ$4,Dashboard!$C$32:$C$38,Dashboard!$H$32:$H$38,,-1) ) )</f>
        <v>1.7000000000000001E-3</v>
      </c>
      <c r="BA29" s="338">
        <f>( (_xlfn.XLOOKUP(BA$4,Dashboard!$C$32:$C$38,Dashboard!$H$32:$H$38,,1 ) - _xlfn.XLOOKUP(BA$4,Dashboard!$C$32:$C$38,Dashboard!$H$32:$H$38,,-1) ) )</f>
        <v>1.7000000000000001E-3</v>
      </c>
      <c r="BB29" s="338">
        <f>( (_xlfn.XLOOKUP(BB$4,Dashboard!$C$32:$C$38,Dashboard!$H$32:$H$38,,1 ) - _xlfn.XLOOKUP(BB$4,Dashboard!$C$32:$C$38,Dashboard!$H$32:$H$38,,-1) ) )</f>
        <v>1.7000000000000001E-3</v>
      </c>
      <c r="BC29" s="338">
        <f>( (_xlfn.XLOOKUP(BC$4,Dashboard!$C$32:$C$38,Dashboard!$H$32:$H$38,,1 ) - _xlfn.XLOOKUP(BC$4,Dashboard!$C$32:$C$38,Dashboard!$H$32:$H$38,,-1) ) )</f>
        <v>1.7000000000000001E-3</v>
      </c>
      <c r="BD29" s="338">
        <f>( (_xlfn.XLOOKUP(BD$4,Dashboard!$C$32:$C$38,Dashboard!$H$32:$H$38,,1 ) - _xlfn.XLOOKUP(BD$4,Dashboard!$C$32:$C$38,Dashboard!$H$32:$H$38,,-1) ) )</f>
        <v>1.7000000000000001E-3</v>
      </c>
      <c r="BE29" s="338">
        <f>( (_xlfn.XLOOKUP(BE$4,Dashboard!$C$32:$C$38,Dashboard!$H$32:$H$38,,1 ) - _xlfn.XLOOKUP(BE$4,Dashboard!$C$32:$C$38,Dashboard!$H$32:$H$38,,-1) ) )</f>
        <v>1.7000000000000001E-3</v>
      </c>
      <c r="BF29" s="338">
        <f>( (_xlfn.XLOOKUP(BF$4,Dashboard!$C$32:$C$38,Dashboard!$H$32:$H$38,,1 ) - _xlfn.XLOOKUP(BF$4,Dashboard!$C$32:$C$38,Dashboard!$H$32:$H$38,,-1) ) )</f>
        <v>1.7000000000000001E-3</v>
      </c>
      <c r="BG29" s="338">
        <f>( (_xlfn.XLOOKUP(BG$4,Dashboard!$C$32:$C$38,Dashboard!$H$32:$H$38,,1 ) - _xlfn.XLOOKUP(BG$4,Dashboard!$C$32:$C$38,Dashboard!$H$32:$H$38,,-1) ) )</f>
        <v>1.7000000000000001E-3</v>
      </c>
      <c r="BH29" s="338">
        <f>( (_xlfn.XLOOKUP(BH$4,Dashboard!$C$32:$C$38,Dashboard!$H$32:$H$38,,1 ) - _xlfn.XLOOKUP(BH$4,Dashboard!$C$32:$C$38,Dashboard!$H$32:$H$38,,-1) ) )</f>
        <v>1.7000000000000001E-3</v>
      </c>
      <c r="BI29" s="338">
        <f>( (_xlfn.XLOOKUP(BI$4,Dashboard!$C$32:$C$38,Dashboard!$H$32:$H$38,,1 ) - _xlfn.XLOOKUP(BI$4,Dashboard!$C$32:$C$38,Dashboard!$H$32:$H$38,,-1) ) )</f>
        <v>1.7000000000000001E-3</v>
      </c>
      <c r="BJ29" s="338">
        <f>( (_xlfn.XLOOKUP(BJ$4,Dashboard!$C$32:$C$38,Dashboard!$H$32:$H$38,,1 ) - _xlfn.XLOOKUP(BJ$4,Dashboard!$C$32:$C$38,Dashboard!$H$32:$H$38,,-1) ) )</f>
        <v>1.7000000000000001E-3</v>
      </c>
      <c r="BK29" s="338">
        <f>( (_xlfn.XLOOKUP(BK$4,Dashboard!$C$32:$C$38,Dashboard!$H$32:$H$38,,1 ) - _xlfn.XLOOKUP(BK$4,Dashboard!$C$32:$C$38,Dashboard!$H$32:$H$38,,-1) ) )</f>
        <v>1.7000000000000001E-3</v>
      </c>
      <c r="BL29" s="338">
        <f>( (_xlfn.XLOOKUP(BL$4,Dashboard!$C$32:$C$38,Dashboard!$H$32:$H$38,,1 ) - _xlfn.XLOOKUP(BL$4,Dashboard!$C$32:$C$38,Dashboard!$H$32:$H$38,,-1) ) )</f>
        <v>1.7000000000000001E-3</v>
      </c>
      <c r="BM29" s="338">
        <f>( (_xlfn.XLOOKUP(BM$4,Dashboard!$C$32:$C$38,Dashboard!$H$32:$H$38,,1 ) - _xlfn.XLOOKUP(BM$4,Dashboard!$C$32:$C$38,Dashboard!$H$32:$H$38,,-1) ) )</f>
        <v>1.7000000000000001E-3</v>
      </c>
      <c r="BN29" s="338">
        <f>( (_xlfn.XLOOKUP(BN$4,Dashboard!$C$32:$C$38,Dashboard!$H$32:$H$38,,1 ) - _xlfn.XLOOKUP(BN$4,Dashboard!$C$32:$C$38,Dashboard!$H$32:$H$38,,-1) ) )</f>
        <v>1.7000000000000001E-3</v>
      </c>
      <c r="BO29" s="338">
        <f>( (_xlfn.XLOOKUP(BO$4,Dashboard!$C$32:$C$38,Dashboard!$H$32:$H$38,,1 ) - _xlfn.XLOOKUP(BO$4,Dashboard!$C$32:$C$38,Dashboard!$H$32:$H$38,,-1) ) )</f>
        <v>1.7000000000000001E-3</v>
      </c>
      <c r="BP29" s="338">
        <f>( (_xlfn.XLOOKUP(BP$4,Dashboard!$C$32:$C$38,Dashboard!$H$32:$H$38,,1 ) - _xlfn.XLOOKUP(BP$4,Dashboard!$C$32:$C$38,Dashboard!$H$32:$H$38,,-1) ) )</f>
        <v>1.7000000000000001E-3</v>
      </c>
      <c r="BQ29" s="338">
        <f>( (_xlfn.XLOOKUP(BQ$4,Dashboard!$C$32:$C$38,Dashboard!$H$32:$H$38,,1 ) - _xlfn.XLOOKUP(BQ$4,Dashboard!$C$32:$C$38,Dashboard!$H$32:$H$38,,-1) ) )</f>
        <v>1.7000000000000001E-3</v>
      </c>
      <c r="BR29" s="338">
        <f>( (_xlfn.XLOOKUP(BR$4,Dashboard!$C$32:$C$38,Dashboard!$H$32:$H$38,,1 ) - _xlfn.XLOOKUP(BR$4,Dashboard!$C$32:$C$38,Dashboard!$H$32:$H$38,,-1) ) )</f>
        <v>1.7000000000000001E-3</v>
      </c>
      <c r="BS29" s="338">
        <f>( (_xlfn.XLOOKUP(BS$4,Dashboard!$C$32:$C$38,Dashboard!$H$32:$H$38,,1 ) - _xlfn.XLOOKUP(BS$4,Dashboard!$C$32:$C$38,Dashboard!$H$32:$H$38,,-1) ) )</f>
        <v>1.7000000000000001E-3</v>
      </c>
      <c r="BT29" s="338">
        <f>( (_xlfn.XLOOKUP(BT$4,Dashboard!$C$32:$C$38,Dashboard!$H$32:$H$38,,1 ) - _xlfn.XLOOKUP(BT$4,Dashboard!$C$32:$C$38,Dashboard!$H$32:$H$38,,-1) ) )</f>
        <v>1.7000000000000001E-3</v>
      </c>
      <c r="BU29" s="338">
        <f>( (_xlfn.XLOOKUP(BU$4,Dashboard!$C$32:$C$38,Dashboard!$H$32:$H$38,,1 ) - _xlfn.XLOOKUP(BU$4,Dashboard!$C$32:$C$38,Dashboard!$H$32:$H$38,,-1) ) )</f>
        <v>1.7000000000000001E-3</v>
      </c>
      <c r="BV29" s="338">
        <f>( (_xlfn.XLOOKUP(BV$4,Dashboard!$C$32:$C$38,Dashboard!$H$32:$H$38,,1 ) - _xlfn.XLOOKUP(BV$4,Dashboard!$C$32:$C$38,Dashboard!$H$32:$H$38,,-1) ) )</f>
        <v>1.7000000000000001E-3</v>
      </c>
    </row>
    <row r="30" spans="4:74" hidden="1" outlineLevel="1">
      <c r="G30" s="12" t="s">
        <v>538</v>
      </c>
      <c r="H30" s="331"/>
      <c r="I30" s="231"/>
      <c r="J30" s="105">
        <f>( _xlfn.XLOOKUP(J$4,Dashboard!$C$32:$C$38,Dashboard!$C$32:$C$38,,1) - _xlfn.XLOOKUP(J$4,Dashboard!$C$32:$C$38,Dashboard!$C$32:$C$38,,-1) )</f>
        <v>0</v>
      </c>
      <c r="K30" s="105">
        <f>( _xlfn.XLOOKUP(K$4,Dashboard!$C$32:$C$38,Dashboard!$C$32:$C$38,,1) - _xlfn.XLOOKUP(K$4,Dashboard!$C$32:$C$38,Dashboard!$C$32:$C$38,,-1) )</f>
        <v>0</v>
      </c>
      <c r="L30" s="105">
        <f>( _xlfn.XLOOKUP(L$4,Dashboard!$C$32:$C$38,Dashboard!$C$32:$C$38,,1) - _xlfn.XLOOKUP(L$4,Dashboard!$C$32:$C$38,Dashboard!$C$32:$C$38,,-1) )</f>
        <v>3</v>
      </c>
      <c r="M30" s="105">
        <f>( _xlfn.XLOOKUP(M$4,Dashboard!$C$32:$C$38,Dashboard!$C$32:$C$38,,1) - _xlfn.XLOOKUP(M$4,Dashboard!$C$32:$C$38,Dashboard!$C$32:$C$38,,-1) )</f>
        <v>3</v>
      </c>
      <c r="N30" s="105">
        <f>( _xlfn.XLOOKUP(N$4,Dashboard!$C$32:$C$38,Dashboard!$C$32:$C$38,,1) - _xlfn.XLOOKUP(N$4,Dashboard!$C$32:$C$38,Dashboard!$C$32:$C$38,,-1) )</f>
        <v>0</v>
      </c>
      <c r="O30" s="105">
        <f>( _xlfn.XLOOKUP(O$4,Dashboard!$C$32:$C$38,Dashboard!$C$32:$C$38,,1) - _xlfn.XLOOKUP(O$4,Dashboard!$C$32:$C$38,Dashboard!$C$32:$C$38,,-1) )</f>
        <v>5</v>
      </c>
      <c r="P30" s="105">
        <f>( _xlfn.XLOOKUP(P$4,Dashboard!$C$32:$C$38,Dashboard!$C$32:$C$38,,1) - _xlfn.XLOOKUP(P$4,Dashboard!$C$32:$C$38,Dashboard!$C$32:$C$38,,-1) )</f>
        <v>5</v>
      </c>
      <c r="Q30" s="105">
        <f>( _xlfn.XLOOKUP(Q$4,Dashboard!$C$32:$C$38,Dashboard!$C$32:$C$38,,1) - _xlfn.XLOOKUP(Q$4,Dashboard!$C$32:$C$38,Dashboard!$C$32:$C$38,,-1) )</f>
        <v>5</v>
      </c>
      <c r="R30" s="105">
        <f>( _xlfn.XLOOKUP(R$4,Dashboard!$C$32:$C$38,Dashboard!$C$32:$C$38,,1) - _xlfn.XLOOKUP(R$4,Dashboard!$C$32:$C$38,Dashboard!$C$32:$C$38,,-1) )</f>
        <v>5</v>
      </c>
      <c r="S30" s="105">
        <f>( _xlfn.XLOOKUP(S$4,Dashboard!$C$32:$C$38,Dashboard!$C$32:$C$38,,1) - _xlfn.XLOOKUP(S$4,Dashboard!$C$32:$C$38,Dashboard!$C$32:$C$38,,-1) )</f>
        <v>0</v>
      </c>
      <c r="T30" s="105">
        <f>( _xlfn.XLOOKUP(T$4,Dashboard!$C$32:$C$38,Dashboard!$C$32:$C$38,,1) - _xlfn.XLOOKUP(T$4,Dashboard!$C$32:$C$38,Dashboard!$C$32:$C$38,,-1) )</f>
        <v>10</v>
      </c>
      <c r="U30" s="105">
        <f>( _xlfn.XLOOKUP(U$4,Dashboard!$C$32:$C$38,Dashboard!$C$32:$C$38,,1) - _xlfn.XLOOKUP(U$4,Dashboard!$C$32:$C$38,Dashboard!$C$32:$C$38,,-1) )</f>
        <v>10</v>
      </c>
      <c r="V30" s="105">
        <f>( _xlfn.XLOOKUP(V$4,Dashboard!$C$32:$C$38,Dashboard!$C$32:$C$38,,1) - _xlfn.XLOOKUP(V$4,Dashboard!$C$32:$C$38,Dashboard!$C$32:$C$38,,-1) )</f>
        <v>10</v>
      </c>
      <c r="W30" s="105">
        <f>( _xlfn.XLOOKUP(W$4,Dashboard!$C$32:$C$38,Dashboard!$C$32:$C$38,,1) - _xlfn.XLOOKUP(W$4,Dashboard!$C$32:$C$38,Dashboard!$C$32:$C$38,,-1) )</f>
        <v>10</v>
      </c>
      <c r="X30" s="105">
        <f>( _xlfn.XLOOKUP(X$4,Dashboard!$C$32:$C$38,Dashboard!$C$32:$C$38,,1) - _xlfn.XLOOKUP(X$4,Dashboard!$C$32:$C$38,Dashboard!$C$32:$C$38,,-1) )</f>
        <v>10</v>
      </c>
      <c r="Y30" s="105">
        <f>( _xlfn.XLOOKUP(Y$4,Dashboard!$C$32:$C$38,Dashboard!$C$32:$C$38,,1) - _xlfn.XLOOKUP(Y$4,Dashboard!$C$32:$C$38,Dashboard!$C$32:$C$38,,-1) )</f>
        <v>10</v>
      </c>
      <c r="Z30" s="105">
        <f>( _xlfn.XLOOKUP(Z$4,Dashboard!$C$32:$C$38,Dashboard!$C$32:$C$38,,1) - _xlfn.XLOOKUP(Z$4,Dashboard!$C$32:$C$38,Dashboard!$C$32:$C$38,,-1) )</f>
        <v>10</v>
      </c>
      <c r="AA30" s="105">
        <f>( _xlfn.XLOOKUP(AA$4,Dashboard!$C$32:$C$38,Dashboard!$C$32:$C$38,,1) - _xlfn.XLOOKUP(AA$4,Dashboard!$C$32:$C$38,Dashboard!$C$32:$C$38,,-1) )</f>
        <v>10</v>
      </c>
      <c r="AB30" s="105">
        <f>( _xlfn.XLOOKUP(AB$4,Dashboard!$C$32:$C$38,Dashboard!$C$32:$C$38,,1) - _xlfn.XLOOKUP(AB$4,Dashboard!$C$32:$C$38,Dashboard!$C$32:$C$38,,-1) )</f>
        <v>10</v>
      </c>
      <c r="AC30" s="105">
        <f>( _xlfn.XLOOKUP(AC$4,Dashboard!$C$32:$C$38,Dashboard!$C$32:$C$38,,1) - _xlfn.XLOOKUP(AC$4,Dashboard!$C$32:$C$38,Dashboard!$C$32:$C$38,,-1) )</f>
        <v>0</v>
      </c>
      <c r="AD30" s="105">
        <f>( _xlfn.XLOOKUP(AD$4,Dashboard!$C$32:$C$38,Dashboard!$C$32:$C$38,,1) - _xlfn.XLOOKUP(AD$4,Dashboard!$C$32:$C$38,Dashboard!$C$32:$C$38,,-1) )</f>
        <v>10</v>
      </c>
      <c r="AE30" s="105">
        <f>( _xlfn.XLOOKUP(AE$4,Dashboard!$C$32:$C$38,Dashboard!$C$32:$C$38,,1) - _xlfn.XLOOKUP(AE$4,Dashboard!$C$32:$C$38,Dashboard!$C$32:$C$38,,-1) )</f>
        <v>10</v>
      </c>
      <c r="AF30" s="105">
        <f>( _xlfn.XLOOKUP(AF$4,Dashboard!$C$32:$C$38,Dashboard!$C$32:$C$38,,1) - _xlfn.XLOOKUP(AF$4,Dashboard!$C$32:$C$38,Dashboard!$C$32:$C$38,,-1) )</f>
        <v>10</v>
      </c>
      <c r="AG30" s="105">
        <f>( _xlfn.XLOOKUP(AG$4,Dashboard!$C$32:$C$38,Dashboard!$C$32:$C$38,,1) - _xlfn.XLOOKUP(AG$4,Dashboard!$C$32:$C$38,Dashboard!$C$32:$C$38,,-1) )</f>
        <v>10</v>
      </c>
      <c r="AH30" s="105">
        <f>( _xlfn.XLOOKUP(AH$4,Dashboard!$C$32:$C$38,Dashboard!$C$32:$C$38,,1) - _xlfn.XLOOKUP(AH$4,Dashboard!$C$32:$C$38,Dashboard!$C$32:$C$38,,-1) )</f>
        <v>10</v>
      </c>
      <c r="AI30" s="105">
        <f>( _xlfn.XLOOKUP(AI$4,Dashboard!$C$32:$C$38,Dashboard!$C$32:$C$38,,1) - _xlfn.XLOOKUP(AI$4,Dashboard!$C$32:$C$38,Dashboard!$C$32:$C$38,,-1) )</f>
        <v>10</v>
      </c>
      <c r="AJ30" s="105">
        <f>( _xlfn.XLOOKUP(AJ$4,Dashboard!$C$32:$C$38,Dashboard!$C$32:$C$38,,1) - _xlfn.XLOOKUP(AJ$4,Dashboard!$C$32:$C$38,Dashboard!$C$32:$C$38,,-1) )</f>
        <v>10</v>
      </c>
      <c r="AK30" s="105">
        <f>( _xlfn.XLOOKUP(AK$4,Dashboard!$C$32:$C$38,Dashboard!$C$32:$C$38,,1) - _xlfn.XLOOKUP(AK$4,Dashboard!$C$32:$C$38,Dashboard!$C$32:$C$38,,-1) )</f>
        <v>10</v>
      </c>
      <c r="AL30" s="105">
        <f>( _xlfn.XLOOKUP(AL$4,Dashboard!$C$32:$C$38,Dashboard!$C$32:$C$38,,1) - _xlfn.XLOOKUP(AL$4,Dashboard!$C$32:$C$38,Dashboard!$C$32:$C$38,,-1) )</f>
        <v>10</v>
      </c>
      <c r="AM30" s="105">
        <f>( _xlfn.XLOOKUP(AM$4,Dashboard!$C$32:$C$38,Dashboard!$C$32:$C$38,,1) - _xlfn.XLOOKUP(AM$4,Dashboard!$C$32:$C$38,Dashboard!$C$32:$C$38,,-1) )</f>
        <v>0</v>
      </c>
      <c r="AN30" s="105">
        <f>( _xlfn.XLOOKUP(AN$4,Dashboard!$C$32:$C$38,Dashboard!$C$32:$C$38,,1) - _xlfn.XLOOKUP(AN$4,Dashboard!$C$32:$C$38,Dashboard!$C$32:$C$38,,-1) )</f>
        <v>70</v>
      </c>
      <c r="AO30" s="105">
        <f>( _xlfn.XLOOKUP(AO$4,Dashboard!$C$32:$C$38,Dashboard!$C$32:$C$38,,1) - _xlfn.XLOOKUP(AO$4,Dashboard!$C$32:$C$38,Dashboard!$C$32:$C$38,,-1) )</f>
        <v>70</v>
      </c>
      <c r="AP30" s="105">
        <f>( _xlfn.XLOOKUP(AP$4,Dashboard!$C$32:$C$38,Dashboard!$C$32:$C$38,,1) - _xlfn.XLOOKUP(AP$4,Dashboard!$C$32:$C$38,Dashboard!$C$32:$C$38,,-1) )</f>
        <v>70</v>
      </c>
      <c r="AQ30" s="105">
        <f>( _xlfn.XLOOKUP(AQ$4,Dashboard!$C$32:$C$38,Dashboard!$C$32:$C$38,,1) - _xlfn.XLOOKUP(AQ$4,Dashboard!$C$32:$C$38,Dashboard!$C$32:$C$38,,-1) )</f>
        <v>70</v>
      </c>
      <c r="AR30" s="105">
        <f>( _xlfn.XLOOKUP(AR$4,Dashboard!$C$32:$C$38,Dashboard!$C$32:$C$38,,1) - _xlfn.XLOOKUP(AR$4,Dashboard!$C$32:$C$38,Dashboard!$C$32:$C$38,,-1) )</f>
        <v>70</v>
      </c>
      <c r="AS30" s="105">
        <f>( _xlfn.XLOOKUP(AS$4,Dashboard!$C$32:$C$38,Dashboard!$C$32:$C$38,,1) - _xlfn.XLOOKUP(AS$4,Dashboard!$C$32:$C$38,Dashboard!$C$32:$C$38,,-1) )</f>
        <v>70</v>
      </c>
      <c r="AT30" s="105">
        <f>( _xlfn.XLOOKUP(AT$4,Dashboard!$C$32:$C$38,Dashboard!$C$32:$C$38,,1) - _xlfn.XLOOKUP(AT$4,Dashboard!$C$32:$C$38,Dashboard!$C$32:$C$38,,-1) )</f>
        <v>70</v>
      </c>
      <c r="AU30" s="105">
        <f>( _xlfn.XLOOKUP(AU$4,Dashboard!$C$32:$C$38,Dashboard!$C$32:$C$38,,1) - _xlfn.XLOOKUP(AU$4,Dashboard!$C$32:$C$38,Dashboard!$C$32:$C$38,,-1) )</f>
        <v>70</v>
      </c>
      <c r="AV30" s="105">
        <f>( _xlfn.XLOOKUP(AV$4,Dashboard!$C$32:$C$38,Dashboard!$C$32:$C$38,,1) - _xlfn.XLOOKUP(AV$4,Dashboard!$C$32:$C$38,Dashboard!$C$32:$C$38,,-1) )</f>
        <v>70</v>
      </c>
      <c r="AW30" s="105">
        <f>( _xlfn.XLOOKUP(AW$4,Dashboard!$C$32:$C$38,Dashboard!$C$32:$C$38,,1) - _xlfn.XLOOKUP(AW$4,Dashboard!$C$32:$C$38,Dashboard!$C$32:$C$38,,-1) )</f>
        <v>70</v>
      </c>
      <c r="AX30" s="105">
        <f>( _xlfn.XLOOKUP(AX$4,Dashboard!$C$32:$C$38,Dashboard!$C$32:$C$38,,1) - _xlfn.XLOOKUP(AX$4,Dashboard!$C$32:$C$38,Dashboard!$C$32:$C$38,,-1) )</f>
        <v>70</v>
      </c>
      <c r="AY30" s="105">
        <f>( _xlfn.XLOOKUP(AY$4,Dashboard!$C$32:$C$38,Dashboard!$C$32:$C$38,,1) - _xlfn.XLOOKUP(AY$4,Dashboard!$C$32:$C$38,Dashboard!$C$32:$C$38,,-1) )</f>
        <v>70</v>
      </c>
      <c r="AZ30" s="105">
        <f>( _xlfn.XLOOKUP(AZ$4,Dashboard!$C$32:$C$38,Dashboard!$C$32:$C$38,,1) - _xlfn.XLOOKUP(AZ$4,Dashboard!$C$32:$C$38,Dashboard!$C$32:$C$38,,-1) )</f>
        <v>70</v>
      </c>
      <c r="BA30" s="105">
        <f>( _xlfn.XLOOKUP(BA$4,Dashboard!$C$32:$C$38,Dashboard!$C$32:$C$38,,1) - _xlfn.XLOOKUP(BA$4,Dashboard!$C$32:$C$38,Dashboard!$C$32:$C$38,,-1) )</f>
        <v>70</v>
      </c>
      <c r="BB30" s="105">
        <f>( _xlfn.XLOOKUP(BB$4,Dashboard!$C$32:$C$38,Dashboard!$C$32:$C$38,,1) - _xlfn.XLOOKUP(BB$4,Dashboard!$C$32:$C$38,Dashboard!$C$32:$C$38,,-1) )</f>
        <v>70</v>
      </c>
      <c r="BC30" s="105">
        <f>( _xlfn.XLOOKUP(BC$4,Dashboard!$C$32:$C$38,Dashboard!$C$32:$C$38,,1) - _xlfn.XLOOKUP(BC$4,Dashboard!$C$32:$C$38,Dashboard!$C$32:$C$38,,-1) )</f>
        <v>70</v>
      </c>
      <c r="BD30" s="105">
        <f>( _xlfn.XLOOKUP(BD$4,Dashboard!$C$32:$C$38,Dashboard!$C$32:$C$38,,1) - _xlfn.XLOOKUP(BD$4,Dashboard!$C$32:$C$38,Dashboard!$C$32:$C$38,,-1) )</f>
        <v>70</v>
      </c>
      <c r="BE30" s="105">
        <f>( _xlfn.XLOOKUP(BE$4,Dashboard!$C$32:$C$38,Dashboard!$C$32:$C$38,,1) - _xlfn.XLOOKUP(BE$4,Dashboard!$C$32:$C$38,Dashboard!$C$32:$C$38,,-1) )</f>
        <v>70</v>
      </c>
      <c r="BF30" s="105">
        <f>( _xlfn.XLOOKUP(BF$4,Dashboard!$C$32:$C$38,Dashboard!$C$32:$C$38,,1) - _xlfn.XLOOKUP(BF$4,Dashboard!$C$32:$C$38,Dashboard!$C$32:$C$38,,-1) )</f>
        <v>70</v>
      </c>
      <c r="BG30" s="105">
        <f>( _xlfn.XLOOKUP(BG$4,Dashboard!$C$32:$C$38,Dashboard!$C$32:$C$38,,1) - _xlfn.XLOOKUP(BG$4,Dashboard!$C$32:$C$38,Dashboard!$C$32:$C$38,,-1) )</f>
        <v>70</v>
      </c>
      <c r="BH30" s="105">
        <f>( _xlfn.XLOOKUP(BH$4,Dashboard!$C$32:$C$38,Dashboard!$C$32:$C$38,,1) - _xlfn.XLOOKUP(BH$4,Dashboard!$C$32:$C$38,Dashboard!$C$32:$C$38,,-1) )</f>
        <v>70</v>
      </c>
      <c r="BI30" s="105">
        <f>( _xlfn.XLOOKUP(BI$4,Dashboard!$C$32:$C$38,Dashboard!$C$32:$C$38,,1) - _xlfn.XLOOKUP(BI$4,Dashboard!$C$32:$C$38,Dashboard!$C$32:$C$38,,-1) )</f>
        <v>70</v>
      </c>
      <c r="BJ30" s="105">
        <f>( _xlfn.XLOOKUP(BJ$4,Dashboard!$C$32:$C$38,Dashboard!$C$32:$C$38,,1) - _xlfn.XLOOKUP(BJ$4,Dashboard!$C$32:$C$38,Dashboard!$C$32:$C$38,,-1) )</f>
        <v>70</v>
      </c>
      <c r="BK30" s="105">
        <f>( _xlfn.XLOOKUP(BK$4,Dashboard!$C$32:$C$38,Dashboard!$C$32:$C$38,,1) - _xlfn.XLOOKUP(BK$4,Dashboard!$C$32:$C$38,Dashboard!$C$32:$C$38,,-1) )</f>
        <v>70</v>
      </c>
      <c r="BL30" s="105">
        <f>( _xlfn.XLOOKUP(BL$4,Dashboard!$C$32:$C$38,Dashboard!$C$32:$C$38,,1) - _xlfn.XLOOKUP(BL$4,Dashboard!$C$32:$C$38,Dashboard!$C$32:$C$38,,-1) )</f>
        <v>70</v>
      </c>
      <c r="BM30" s="105">
        <f>( _xlfn.XLOOKUP(BM$4,Dashboard!$C$32:$C$38,Dashboard!$C$32:$C$38,,1) - _xlfn.XLOOKUP(BM$4,Dashboard!$C$32:$C$38,Dashboard!$C$32:$C$38,,-1) )</f>
        <v>70</v>
      </c>
      <c r="BN30" s="105">
        <f>( _xlfn.XLOOKUP(BN$4,Dashboard!$C$32:$C$38,Dashboard!$C$32:$C$38,,1) - _xlfn.XLOOKUP(BN$4,Dashboard!$C$32:$C$38,Dashboard!$C$32:$C$38,,-1) )</f>
        <v>70</v>
      </c>
      <c r="BO30" s="105">
        <f>( _xlfn.XLOOKUP(BO$4,Dashboard!$C$32:$C$38,Dashboard!$C$32:$C$38,,1) - _xlfn.XLOOKUP(BO$4,Dashboard!$C$32:$C$38,Dashboard!$C$32:$C$38,,-1) )</f>
        <v>70</v>
      </c>
      <c r="BP30" s="105">
        <f>( _xlfn.XLOOKUP(BP$4,Dashboard!$C$32:$C$38,Dashboard!$C$32:$C$38,,1) - _xlfn.XLOOKUP(BP$4,Dashboard!$C$32:$C$38,Dashboard!$C$32:$C$38,,-1) )</f>
        <v>70</v>
      </c>
      <c r="BQ30" s="105">
        <f>( _xlfn.XLOOKUP(BQ$4,Dashboard!$C$32:$C$38,Dashboard!$C$32:$C$38,,1) - _xlfn.XLOOKUP(BQ$4,Dashboard!$C$32:$C$38,Dashboard!$C$32:$C$38,,-1) )</f>
        <v>70</v>
      </c>
      <c r="BR30" s="105">
        <f>( _xlfn.XLOOKUP(BR$4,Dashboard!$C$32:$C$38,Dashboard!$C$32:$C$38,,1) - _xlfn.XLOOKUP(BR$4,Dashboard!$C$32:$C$38,Dashboard!$C$32:$C$38,,-1) )</f>
        <v>70</v>
      </c>
      <c r="BS30" s="105">
        <f>( _xlfn.XLOOKUP(BS$4,Dashboard!$C$32:$C$38,Dashboard!$C$32:$C$38,,1) - _xlfn.XLOOKUP(BS$4,Dashboard!$C$32:$C$38,Dashboard!$C$32:$C$38,,-1) )</f>
        <v>70</v>
      </c>
      <c r="BT30" s="105">
        <f>( _xlfn.XLOOKUP(BT$4,Dashboard!$C$32:$C$38,Dashboard!$C$32:$C$38,,1) - _xlfn.XLOOKUP(BT$4,Dashboard!$C$32:$C$38,Dashboard!$C$32:$C$38,,-1) )</f>
        <v>70</v>
      </c>
      <c r="BU30" s="105">
        <f>( _xlfn.XLOOKUP(BU$4,Dashboard!$C$32:$C$38,Dashboard!$C$32:$C$38,,1) - _xlfn.XLOOKUP(BU$4,Dashboard!$C$32:$C$38,Dashboard!$C$32:$C$38,,-1) )</f>
        <v>70</v>
      </c>
      <c r="BV30" s="105">
        <f>( _xlfn.XLOOKUP(BV$4,Dashboard!$C$32:$C$38,Dashboard!$C$32:$C$38,,1) - _xlfn.XLOOKUP(BV$4,Dashboard!$C$32:$C$38,Dashboard!$C$32:$C$38,,-1) )</f>
        <v>70</v>
      </c>
    </row>
    <row r="31" spans="4:74" hidden="1" outlineLevel="1">
      <c r="G31" s="12" t="s">
        <v>539</v>
      </c>
      <c r="H31" s="331"/>
      <c r="I31" s="231"/>
      <c r="J31" s="338" t="e">
        <f t="shared" ref="J31" si="18">J29/J30</f>
        <v>#DIV/0!</v>
      </c>
      <c r="K31" s="338" t="e">
        <f t="shared" ref="K31" si="19">K29/K30</f>
        <v>#DIV/0!</v>
      </c>
      <c r="L31" s="338">
        <f t="shared" ref="L31" si="20">L29/L30</f>
        <v>-1.2333333333333339E-3</v>
      </c>
      <c r="M31" s="338">
        <f t="shared" ref="M31" si="21">M29/M30</f>
        <v>-1.2333333333333339E-3</v>
      </c>
      <c r="N31" s="338" t="e">
        <f t="shared" ref="N31" si="22">N29/N30</f>
        <v>#DIV/0!</v>
      </c>
      <c r="O31" s="338">
        <f t="shared" ref="O31" si="23">O29/O30</f>
        <v>6.0000000000000334E-5</v>
      </c>
      <c r="P31" s="338">
        <f t="shared" ref="P31" si="24">P29/P30</f>
        <v>6.0000000000000334E-5</v>
      </c>
      <c r="Q31" s="338">
        <f t="shared" ref="Q31" si="25">Q29/Q30</f>
        <v>6.0000000000000334E-5</v>
      </c>
      <c r="R31" s="338">
        <f t="shared" ref="R31" si="26">R29/R30</f>
        <v>6.0000000000000334E-5</v>
      </c>
      <c r="S31" s="338" t="e">
        <f t="shared" ref="S31" si="27">S29/S30</f>
        <v>#DIV/0!</v>
      </c>
      <c r="T31" s="338">
        <f t="shared" ref="T31" si="28">T29/T30</f>
        <v>2.5999999999999981E-4</v>
      </c>
      <c r="U31" s="338">
        <f t="shared" ref="U31" si="29">U29/U30</f>
        <v>2.5999999999999981E-4</v>
      </c>
      <c r="V31" s="338">
        <f t="shared" ref="V31" si="30">V29/V30</f>
        <v>2.5999999999999981E-4</v>
      </c>
      <c r="W31" s="338">
        <f t="shared" ref="W31" si="31">W29/W30</f>
        <v>2.5999999999999981E-4</v>
      </c>
      <c r="X31" s="338">
        <f t="shared" ref="X31" si="32">X29/X30</f>
        <v>2.5999999999999981E-4</v>
      </c>
      <c r="Y31" s="338">
        <f t="shared" ref="Y31" si="33">Y29/Y30</f>
        <v>2.5999999999999981E-4</v>
      </c>
      <c r="Z31" s="338">
        <f t="shared" ref="Z31" si="34">Z29/Z30</f>
        <v>2.5999999999999981E-4</v>
      </c>
      <c r="AA31" s="338">
        <f t="shared" ref="AA31" si="35">AA29/AA30</f>
        <v>2.5999999999999981E-4</v>
      </c>
      <c r="AB31" s="338">
        <f t="shared" ref="AB31" si="36">AB29/AB30</f>
        <v>2.5999999999999981E-4</v>
      </c>
      <c r="AC31" s="338" t="e">
        <f t="shared" ref="AC31" si="37">AC29/AC30</f>
        <v>#DIV/0!</v>
      </c>
      <c r="AD31" s="338">
        <f t="shared" ref="AD31" si="38">AD29/AD30</f>
        <v>-1.3000000000000026E-4</v>
      </c>
      <c r="AE31" s="338">
        <f t="shared" ref="AE31" si="39">AE29/AE30</f>
        <v>-1.3000000000000026E-4</v>
      </c>
      <c r="AF31" s="338">
        <f t="shared" ref="AF31" si="40">AF29/AF30</f>
        <v>-1.3000000000000026E-4</v>
      </c>
      <c r="AG31" s="338">
        <f t="shared" ref="AG31" si="41">AG29/AG30</f>
        <v>-1.3000000000000026E-4</v>
      </c>
      <c r="AH31" s="338">
        <f t="shared" ref="AH31" si="42">AH29/AH30</f>
        <v>-1.3000000000000026E-4</v>
      </c>
      <c r="AI31" s="338">
        <f t="shared" ref="AI31" si="43">AI29/AI30</f>
        <v>-1.3000000000000026E-4</v>
      </c>
      <c r="AJ31" s="338">
        <f t="shared" ref="AJ31" si="44">AJ29/AJ30</f>
        <v>-1.3000000000000026E-4</v>
      </c>
      <c r="AK31" s="338">
        <f t="shared" ref="AK31" si="45">AK29/AK30</f>
        <v>-1.3000000000000026E-4</v>
      </c>
      <c r="AL31" s="338">
        <f t="shared" ref="AL31" si="46">AL29/AL30</f>
        <v>-1.3000000000000026E-4</v>
      </c>
      <c r="AM31" s="338" t="e">
        <f t="shared" ref="AM31" si="47">AM29/AM30</f>
        <v>#DIV/0!</v>
      </c>
      <c r="AN31" s="338">
        <f t="shared" ref="AN31" si="48">AN29/AN30</f>
        <v>2.4285714285714288E-5</v>
      </c>
      <c r="AO31" s="338">
        <f t="shared" ref="AO31" si="49">AO29/AO30</f>
        <v>2.4285714285714288E-5</v>
      </c>
      <c r="AP31" s="338">
        <f t="shared" ref="AP31" si="50">AP29/AP30</f>
        <v>2.4285714285714288E-5</v>
      </c>
      <c r="AQ31" s="338">
        <f t="shared" ref="AQ31" si="51">AQ29/AQ30</f>
        <v>2.4285714285714288E-5</v>
      </c>
      <c r="AR31" s="338">
        <f t="shared" ref="AR31" si="52">AR29/AR30</f>
        <v>2.4285714285714288E-5</v>
      </c>
      <c r="AS31" s="338">
        <f t="shared" ref="AS31" si="53">AS29/AS30</f>
        <v>2.4285714285714288E-5</v>
      </c>
      <c r="AT31" s="338">
        <f t="shared" ref="AT31" si="54">AT29/AT30</f>
        <v>2.4285714285714288E-5</v>
      </c>
      <c r="AU31" s="338">
        <f t="shared" ref="AU31" si="55">AU29/AU30</f>
        <v>2.4285714285714288E-5</v>
      </c>
      <c r="AV31" s="338">
        <f t="shared" ref="AV31" si="56">AV29/AV30</f>
        <v>2.4285714285714288E-5</v>
      </c>
      <c r="AW31" s="338">
        <f t="shared" ref="AW31" si="57">AW29/AW30</f>
        <v>2.4285714285714288E-5</v>
      </c>
      <c r="AX31" s="338">
        <f t="shared" ref="AX31" si="58">AX29/AX30</f>
        <v>2.4285714285714288E-5</v>
      </c>
      <c r="AY31" s="338">
        <f t="shared" ref="AY31" si="59">AY29/AY30</f>
        <v>2.4285714285714288E-5</v>
      </c>
      <c r="AZ31" s="338">
        <f t="shared" ref="AZ31" si="60">AZ29/AZ30</f>
        <v>2.4285714285714288E-5</v>
      </c>
      <c r="BA31" s="338">
        <f t="shared" ref="BA31" si="61">BA29/BA30</f>
        <v>2.4285714285714288E-5</v>
      </c>
      <c r="BB31" s="338">
        <f t="shared" ref="BB31" si="62">BB29/BB30</f>
        <v>2.4285714285714288E-5</v>
      </c>
      <c r="BC31" s="338">
        <f t="shared" ref="BC31" si="63">BC29/BC30</f>
        <v>2.4285714285714288E-5</v>
      </c>
      <c r="BD31" s="338">
        <f t="shared" ref="BD31" si="64">BD29/BD30</f>
        <v>2.4285714285714288E-5</v>
      </c>
      <c r="BE31" s="338">
        <f t="shared" ref="BE31" si="65">BE29/BE30</f>
        <v>2.4285714285714288E-5</v>
      </c>
      <c r="BF31" s="338">
        <f t="shared" ref="BF31" si="66">BF29/BF30</f>
        <v>2.4285714285714288E-5</v>
      </c>
      <c r="BG31" s="338">
        <f t="shared" ref="BG31" si="67">BG29/BG30</f>
        <v>2.4285714285714288E-5</v>
      </c>
      <c r="BH31" s="338">
        <f t="shared" ref="BH31" si="68">BH29/BH30</f>
        <v>2.4285714285714288E-5</v>
      </c>
      <c r="BI31" s="338">
        <f t="shared" ref="BI31" si="69">BI29/BI30</f>
        <v>2.4285714285714288E-5</v>
      </c>
      <c r="BJ31" s="338">
        <f t="shared" ref="BJ31" si="70">BJ29/BJ30</f>
        <v>2.4285714285714288E-5</v>
      </c>
      <c r="BK31" s="338">
        <f t="shared" ref="BK31" si="71">BK29/BK30</f>
        <v>2.4285714285714288E-5</v>
      </c>
      <c r="BL31" s="338">
        <f t="shared" ref="BL31" si="72">BL29/BL30</f>
        <v>2.4285714285714288E-5</v>
      </c>
      <c r="BM31" s="338">
        <f t="shared" ref="BM31" si="73">BM29/BM30</f>
        <v>2.4285714285714288E-5</v>
      </c>
      <c r="BN31" s="338">
        <f t="shared" ref="BN31" si="74">BN29/BN30</f>
        <v>2.4285714285714288E-5</v>
      </c>
      <c r="BO31" s="338">
        <f t="shared" ref="BO31" si="75">BO29/BO30</f>
        <v>2.4285714285714288E-5</v>
      </c>
      <c r="BP31" s="338">
        <f t="shared" ref="BP31" si="76">BP29/BP30</f>
        <v>2.4285714285714288E-5</v>
      </c>
      <c r="BQ31" s="338">
        <f t="shared" ref="BQ31" si="77">BQ29/BQ30</f>
        <v>2.4285714285714288E-5</v>
      </c>
      <c r="BR31" s="338">
        <f t="shared" ref="BR31" si="78">BR29/BR30</f>
        <v>2.4285714285714288E-5</v>
      </c>
      <c r="BS31" s="338">
        <f t="shared" ref="BS31" si="79">BS29/BS30</f>
        <v>2.4285714285714288E-5</v>
      </c>
      <c r="BT31" s="338">
        <f t="shared" ref="BT31" si="80">BT29/BT30</f>
        <v>2.4285714285714288E-5</v>
      </c>
      <c r="BU31" s="338">
        <f t="shared" ref="BU31" si="81">BU29/BU30</f>
        <v>2.4285714285714288E-5</v>
      </c>
      <c r="BV31" s="338">
        <f t="shared" ref="BV31" si="82">BV29/BV30</f>
        <v>2.4285714285714288E-5</v>
      </c>
    </row>
    <row r="32" spans="4:74" hidden="1" outlineLevel="1">
      <c r="G32" s="12" t="s">
        <v>540</v>
      </c>
      <c r="H32" s="331"/>
      <c r="I32" s="231"/>
      <c r="J32" s="105">
        <f>( J$4 - _xlfn.XLOOKUP(J$4,Dashboard!$C$32:$C$38,Dashboard!$C$32:$C$38,,-1) )</f>
        <v>0</v>
      </c>
      <c r="K32" s="105">
        <f>( K$4 - _xlfn.XLOOKUP(K$4,Dashboard!$C$32:$C$38,Dashboard!$C$32:$C$38,,-1) )</f>
        <v>0</v>
      </c>
      <c r="L32" s="105">
        <f>( L$4 - _xlfn.XLOOKUP(L$4,Dashboard!$C$32:$C$38,Dashboard!$C$32:$C$38,,-1) )</f>
        <v>1</v>
      </c>
      <c r="M32" s="105">
        <f>( M$4 - _xlfn.XLOOKUP(M$4,Dashboard!$C$32:$C$38,Dashboard!$C$32:$C$38,,-1) )</f>
        <v>2</v>
      </c>
      <c r="N32" s="105">
        <f>( N$4 - _xlfn.XLOOKUP(N$4,Dashboard!$C$32:$C$38,Dashboard!$C$32:$C$38,,-1) )</f>
        <v>0</v>
      </c>
      <c r="O32" s="105">
        <f>( O$4 - _xlfn.XLOOKUP(O$4,Dashboard!$C$32:$C$38,Dashboard!$C$32:$C$38,,-1) )</f>
        <v>1</v>
      </c>
      <c r="P32" s="105">
        <f>( P$4 - _xlfn.XLOOKUP(P$4,Dashboard!$C$32:$C$38,Dashboard!$C$32:$C$38,,-1) )</f>
        <v>2</v>
      </c>
      <c r="Q32" s="105">
        <f>( Q$4 - _xlfn.XLOOKUP(Q$4,Dashboard!$C$32:$C$38,Dashboard!$C$32:$C$38,,-1) )</f>
        <v>3</v>
      </c>
      <c r="R32" s="105">
        <f>( R$4 - _xlfn.XLOOKUP(R$4,Dashboard!$C$32:$C$38,Dashboard!$C$32:$C$38,,-1) )</f>
        <v>4</v>
      </c>
      <c r="S32" s="105">
        <f>( S$4 - _xlfn.XLOOKUP(S$4,Dashboard!$C$32:$C$38,Dashboard!$C$32:$C$38,,-1) )</f>
        <v>0</v>
      </c>
      <c r="T32" s="105">
        <f>( T$4 - _xlfn.XLOOKUP(T$4,Dashboard!$C$32:$C$38,Dashboard!$C$32:$C$38,,-1) )</f>
        <v>1</v>
      </c>
      <c r="U32" s="105">
        <f>( U$4 - _xlfn.XLOOKUP(U$4,Dashboard!$C$32:$C$38,Dashboard!$C$32:$C$38,,-1) )</f>
        <v>2</v>
      </c>
      <c r="V32" s="105">
        <f>( V$4 - _xlfn.XLOOKUP(V$4,Dashboard!$C$32:$C$38,Dashboard!$C$32:$C$38,,-1) )</f>
        <v>3</v>
      </c>
      <c r="W32" s="105">
        <f>( W$4 - _xlfn.XLOOKUP(W$4,Dashboard!$C$32:$C$38,Dashboard!$C$32:$C$38,,-1) )</f>
        <v>4</v>
      </c>
      <c r="X32" s="105">
        <f>( X$4 - _xlfn.XLOOKUP(X$4,Dashboard!$C$32:$C$38,Dashboard!$C$32:$C$38,,-1) )</f>
        <v>5</v>
      </c>
      <c r="Y32" s="105">
        <f>( Y$4 - _xlfn.XLOOKUP(Y$4,Dashboard!$C$32:$C$38,Dashboard!$C$32:$C$38,,-1) )</f>
        <v>6</v>
      </c>
      <c r="Z32" s="105">
        <f>( Z$4 - _xlfn.XLOOKUP(Z$4,Dashboard!$C$32:$C$38,Dashboard!$C$32:$C$38,,-1) )</f>
        <v>7</v>
      </c>
      <c r="AA32" s="105">
        <f>( AA$4 - _xlfn.XLOOKUP(AA$4,Dashboard!$C$32:$C$38,Dashboard!$C$32:$C$38,,-1) )</f>
        <v>8</v>
      </c>
      <c r="AB32" s="105">
        <f>( AB$4 - _xlfn.XLOOKUP(AB$4,Dashboard!$C$32:$C$38,Dashboard!$C$32:$C$38,,-1) )</f>
        <v>9</v>
      </c>
      <c r="AC32" s="105">
        <f>( AC$4 - _xlfn.XLOOKUP(AC$4,Dashboard!$C$32:$C$38,Dashboard!$C$32:$C$38,,-1) )</f>
        <v>0</v>
      </c>
      <c r="AD32" s="105">
        <f>( AD$4 - _xlfn.XLOOKUP(AD$4,Dashboard!$C$32:$C$38,Dashboard!$C$32:$C$38,,-1) )</f>
        <v>1</v>
      </c>
      <c r="AE32" s="105">
        <f>( AE$4 - _xlfn.XLOOKUP(AE$4,Dashboard!$C$32:$C$38,Dashboard!$C$32:$C$38,,-1) )</f>
        <v>2</v>
      </c>
      <c r="AF32" s="105">
        <f>( AF$4 - _xlfn.XLOOKUP(AF$4,Dashboard!$C$32:$C$38,Dashboard!$C$32:$C$38,,-1) )</f>
        <v>3</v>
      </c>
      <c r="AG32" s="105">
        <f>( AG$4 - _xlfn.XLOOKUP(AG$4,Dashboard!$C$32:$C$38,Dashboard!$C$32:$C$38,,-1) )</f>
        <v>4</v>
      </c>
      <c r="AH32" s="105">
        <f>( AH$4 - _xlfn.XLOOKUP(AH$4,Dashboard!$C$32:$C$38,Dashboard!$C$32:$C$38,,-1) )</f>
        <v>5</v>
      </c>
      <c r="AI32" s="105">
        <f>( AI$4 - _xlfn.XLOOKUP(AI$4,Dashboard!$C$32:$C$38,Dashboard!$C$32:$C$38,,-1) )</f>
        <v>6</v>
      </c>
      <c r="AJ32" s="105">
        <f>( AJ$4 - _xlfn.XLOOKUP(AJ$4,Dashboard!$C$32:$C$38,Dashboard!$C$32:$C$38,,-1) )</f>
        <v>7</v>
      </c>
      <c r="AK32" s="105">
        <f>( AK$4 - _xlfn.XLOOKUP(AK$4,Dashboard!$C$32:$C$38,Dashboard!$C$32:$C$38,,-1) )</f>
        <v>8</v>
      </c>
      <c r="AL32" s="105">
        <f>( AL$4 - _xlfn.XLOOKUP(AL$4,Dashboard!$C$32:$C$38,Dashboard!$C$32:$C$38,,-1) )</f>
        <v>9</v>
      </c>
      <c r="AM32" s="105">
        <f>( AM$4 - _xlfn.XLOOKUP(AM$4,Dashboard!$C$32:$C$38,Dashboard!$C$32:$C$38,,-1) )</f>
        <v>0</v>
      </c>
      <c r="AN32" s="105">
        <f>( AN$4 - _xlfn.XLOOKUP(AN$4,Dashboard!$C$32:$C$38,Dashboard!$C$32:$C$38,,-1) )</f>
        <v>1</v>
      </c>
      <c r="AO32" s="105">
        <f>( AO$4 - _xlfn.XLOOKUP(AO$4,Dashboard!$C$32:$C$38,Dashboard!$C$32:$C$38,,-1) )</f>
        <v>2</v>
      </c>
      <c r="AP32" s="105">
        <f>( AP$4 - _xlfn.XLOOKUP(AP$4,Dashboard!$C$32:$C$38,Dashboard!$C$32:$C$38,,-1) )</f>
        <v>3</v>
      </c>
      <c r="AQ32" s="105">
        <f>( AQ$4 - _xlfn.XLOOKUP(AQ$4,Dashboard!$C$32:$C$38,Dashboard!$C$32:$C$38,,-1) )</f>
        <v>4</v>
      </c>
      <c r="AR32" s="105">
        <f>( AR$4 - _xlfn.XLOOKUP(AR$4,Dashboard!$C$32:$C$38,Dashboard!$C$32:$C$38,,-1) )</f>
        <v>5</v>
      </c>
      <c r="AS32" s="105">
        <f>( AS$4 - _xlfn.XLOOKUP(AS$4,Dashboard!$C$32:$C$38,Dashboard!$C$32:$C$38,,-1) )</f>
        <v>6</v>
      </c>
      <c r="AT32" s="105">
        <f>( AT$4 - _xlfn.XLOOKUP(AT$4,Dashboard!$C$32:$C$38,Dashboard!$C$32:$C$38,,-1) )</f>
        <v>7</v>
      </c>
      <c r="AU32" s="105">
        <f>( AU$4 - _xlfn.XLOOKUP(AU$4,Dashboard!$C$32:$C$38,Dashboard!$C$32:$C$38,,-1) )</f>
        <v>8</v>
      </c>
      <c r="AV32" s="105">
        <f>( AV$4 - _xlfn.XLOOKUP(AV$4,Dashboard!$C$32:$C$38,Dashboard!$C$32:$C$38,,-1) )</f>
        <v>9</v>
      </c>
      <c r="AW32" s="105">
        <f>( AW$4 - _xlfn.XLOOKUP(AW$4,Dashboard!$C$32:$C$38,Dashboard!$C$32:$C$38,,-1) )</f>
        <v>10</v>
      </c>
      <c r="AX32" s="105">
        <f>( AX$4 - _xlfn.XLOOKUP(AX$4,Dashboard!$C$32:$C$38,Dashboard!$C$32:$C$38,,-1) )</f>
        <v>11</v>
      </c>
      <c r="AY32" s="105">
        <f>( AY$4 - _xlfn.XLOOKUP(AY$4,Dashboard!$C$32:$C$38,Dashboard!$C$32:$C$38,,-1) )</f>
        <v>12</v>
      </c>
      <c r="AZ32" s="105">
        <f>( AZ$4 - _xlfn.XLOOKUP(AZ$4,Dashboard!$C$32:$C$38,Dashboard!$C$32:$C$38,,-1) )</f>
        <v>13</v>
      </c>
      <c r="BA32" s="105">
        <f>( BA$4 - _xlfn.XLOOKUP(BA$4,Dashboard!$C$32:$C$38,Dashboard!$C$32:$C$38,,-1) )</f>
        <v>14</v>
      </c>
      <c r="BB32" s="105">
        <f>( BB$4 - _xlfn.XLOOKUP(BB$4,Dashboard!$C$32:$C$38,Dashboard!$C$32:$C$38,,-1) )</f>
        <v>15</v>
      </c>
      <c r="BC32" s="105">
        <f>( BC$4 - _xlfn.XLOOKUP(BC$4,Dashboard!$C$32:$C$38,Dashboard!$C$32:$C$38,,-1) )</f>
        <v>16</v>
      </c>
      <c r="BD32" s="105">
        <f>( BD$4 - _xlfn.XLOOKUP(BD$4,Dashboard!$C$32:$C$38,Dashboard!$C$32:$C$38,,-1) )</f>
        <v>17</v>
      </c>
      <c r="BE32" s="105">
        <f>( BE$4 - _xlfn.XLOOKUP(BE$4,Dashboard!$C$32:$C$38,Dashboard!$C$32:$C$38,,-1) )</f>
        <v>18</v>
      </c>
      <c r="BF32" s="105">
        <f>( BF$4 - _xlfn.XLOOKUP(BF$4,Dashboard!$C$32:$C$38,Dashboard!$C$32:$C$38,,-1) )</f>
        <v>19</v>
      </c>
      <c r="BG32" s="105">
        <f>( BG$4 - _xlfn.XLOOKUP(BG$4,Dashboard!$C$32:$C$38,Dashboard!$C$32:$C$38,,-1) )</f>
        <v>20</v>
      </c>
      <c r="BH32" s="105">
        <f>( BH$4 - _xlfn.XLOOKUP(BH$4,Dashboard!$C$32:$C$38,Dashboard!$C$32:$C$38,,-1) )</f>
        <v>21</v>
      </c>
      <c r="BI32" s="105">
        <f>( BI$4 - _xlfn.XLOOKUP(BI$4,Dashboard!$C$32:$C$38,Dashboard!$C$32:$C$38,,-1) )</f>
        <v>22</v>
      </c>
      <c r="BJ32" s="105">
        <f>( BJ$4 - _xlfn.XLOOKUP(BJ$4,Dashboard!$C$32:$C$38,Dashboard!$C$32:$C$38,,-1) )</f>
        <v>23</v>
      </c>
      <c r="BK32" s="105">
        <f>( BK$4 - _xlfn.XLOOKUP(BK$4,Dashboard!$C$32:$C$38,Dashboard!$C$32:$C$38,,-1) )</f>
        <v>24</v>
      </c>
      <c r="BL32" s="105">
        <f>( BL$4 - _xlfn.XLOOKUP(BL$4,Dashboard!$C$32:$C$38,Dashboard!$C$32:$C$38,,-1) )</f>
        <v>25</v>
      </c>
      <c r="BM32" s="105">
        <f>( BM$4 - _xlfn.XLOOKUP(BM$4,Dashboard!$C$32:$C$38,Dashboard!$C$32:$C$38,,-1) )</f>
        <v>26</v>
      </c>
      <c r="BN32" s="105">
        <f>( BN$4 - _xlfn.XLOOKUP(BN$4,Dashboard!$C$32:$C$38,Dashboard!$C$32:$C$38,,-1) )</f>
        <v>27</v>
      </c>
      <c r="BO32" s="105">
        <f>( BO$4 - _xlfn.XLOOKUP(BO$4,Dashboard!$C$32:$C$38,Dashboard!$C$32:$C$38,,-1) )</f>
        <v>28</v>
      </c>
      <c r="BP32" s="105">
        <f>( BP$4 - _xlfn.XLOOKUP(BP$4,Dashboard!$C$32:$C$38,Dashboard!$C$32:$C$38,,-1) )</f>
        <v>29</v>
      </c>
      <c r="BQ32" s="105">
        <f>( BQ$4 - _xlfn.XLOOKUP(BQ$4,Dashboard!$C$32:$C$38,Dashboard!$C$32:$C$38,,-1) )</f>
        <v>30</v>
      </c>
      <c r="BR32" s="105">
        <f>( BR$4 - _xlfn.XLOOKUP(BR$4,Dashboard!$C$32:$C$38,Dashboard!$C$32:$C$38,,-1) )</f>
        <v>31</v>
      </c>
      <c r="BS32" s="105">
        <f>( BS$4 - _xlfn.XLOOKUP(BS$4,Dashboard!$C$32:$C$38,Dashboard!$C$32:$C$38,,-1) )</f>
        <v>32</v>
      </c>
      <c r="BT32" s="105">
        <f>( BT$4 - _xlfn.XLOOKUP(BT$4,Dashboard!$C$32:$C$38,Dashboard!$C$32:$C$38,,-1) )</f>
        <v>33</v>
      </c>
      <c r="BU32" s="105">
        <f>( BU$4 - _xlfn.XLOOKUP(BU$4,Dashboard!$C$32:$C$38,Dashboard!$C$32:$C$38,,-1) )</f>
        <v>34</v>
      </c>
      <c r="BV32" s="105">
        <f>( BV$4 - _xlfn.XLOOKUP(BV$4,Dashboard!$C$32:$C$38,Dashboard!$C$32:$C$38,,-1) )</f>
        <v>35</v>
      </c>
    </row>
    <row r="33" spans="1:74" hidden="1" outlineLevel="1">
      <c r="G33" s="12" t="s">
        <v>542</v>
      </c>
      <c r="H33" s="331"/>
      <c r="I33" s="231"/>
      <c r="J33" s="338" t="e">
        <f t="shared" ref="J33" si="83">J32 * J31</f>
        <v>#DIV/0!</v>
      </c>
      <c r="K33" s="338" t="e">
        <f t="shared" ref="K33" si="84">K32 * K31</f>
        <v>#DIV/0!</v>
      </c>
      <c r="L33" s="338">
        <f>L32 * L31</f>
        <v>-1.2333333333333339E-3</v>
      </c>
      <c r="M33" s="338">
        <f t="shared" ref="M33" si="85">M32 * M31</f>
        <v>-2.4666666666666678E-3</v>
      </c>
      <c r="N33" s="338" t="e">
        <f t="shared" ref="N33" si="86">N32 * N31</f>
        <v>#DIV/0!</v>
      </c>
      <c r="O33" s="338">
        <f>O32 * O31</f>
        <v>6.0000000000000334E-5</v>
      </c>
      <c r="P33" s="338">
        <f t="shared" ref="P33" si="87">P32 * P31</f>
        <v>1.2000000000000067E-4</v>
      </c>
      <c r="Q33" s="338">
        <f t="shared" ref="Q33" si="88">Q32 * Q31</f>
        <v>1.8000000000000101E-4</v>
      </c>
      <c r="R33" s="338">
        <f t="shared" ref="R33" si="89">R32 * R31</f>
        <v>2.4000000000000133E-4</v>
      </c>
      <c r="S33" s="338" t="e">
        <f t="shared" ref="S33" si="90">S32 * S31</f>
        <v>#DIV/0!</v>
      </c>
      <c r="T33" s="338">
        <f t="shared" ref="T33" si="91">T32 * T31</f>
        <v>2.5999999999999981E-4</v>
      </c>
      <c r="U33" s="338">
        <f t="shared" ref="U33" si="92">U32 * U31</f>
        <v>5.1999999999999963E-4</v>
      </c>
      <c r="V33" s="338">
        <f t="shared" ref="V33" si="93">V32 * V31</f>
        <v>7.7999999999999944E-4</v>
      </c>
      <c r="W33" s="338">
        <f t="shared" ref="W33" si="94">W32 * W31</f>
        <v>1.0399999999999993E-3</v>
      </c>
      <c r="X33" s="338">
        <f t="shared" ref="X33" si="95">X32 * X31</f>
        <v>1.2999999999999991E-3</v>
      </c>
      <c r="Y33" s="338">
        <f t="shared" ref="Y33" si="96">Y32 * Y31</f>
        <v>1.5599999999999989E-3</v>
      </c>
      <c r="Z33" s="338">
        <f t="shared" ref="Z33" si="97">Z32 * Z31</f>
        <v>1.8199999999999987E-3</v>
      </c>
      <c r="AA33" s="338">
        <f t="shared" ref="AA33" si="98">AA32 * AA31</f>
        <v>2.0799999999999985E-3</v>
      </c>
      <c r="AB33" s="338">
        <f t="shared" ref="AB33" si="99">AB32 * AB31</f>
        <v>2.3399999999999983E-3</v>
      </c>
      <c r="AC33" s="338" t="e">
        <f t="shared" ref="AC33" si="100">AC32 * AC31</f>
        <v>#DIV/0!</v>
      </c>
      <c r="AD33" s="338">
        <f t="shared" ref="AD33" si="101">AD32 * AD31</f>
        <v>-1.3000000000000026E-4</v>
      </c>
      <c r="AE33" s="338">
        <f t="shared" ref="AE33" si="102">AE32 * AE31</f>
        <v>-2.6000000000000052E-4</v>
      </c>
      <c r="AF33" s="338">
        <f t="shared" ref="AF33" si="103">AF32 * AF31</f>
        <v>-3.9000000000000081E-4</v>
      </c>
      <c r="AG33" s="338">
        <f t="shared" ref="AG33" si="104">AG32 * AG31</f>
        <v>-5.2000000000000104E-4</v>
      </c>
      <c r="AH33" s="338">
        <f t="shared" ref="AH33" si="105">AH32 * AH31</f>
        <v>-6.5000000000000127E-4</v>
      </c>
      <c r="AI33" s="338">
        <f t="shared" ref="AI33" si="106">AI32 * AI31</f>
        <v>-7.8000000000000161E-4</v>
      </c>
      <c r="AJ33" s="338">
        <f t="shared" ref="AJ33" si="107">AJ32 * AJ31</f>
        <v>-9.1000000000000184E-4</v>
      </c>
      <c r="AK33" s="338">
        <f t="shared" ref="AK33" si="108">AK32 * AK31</f>
        <v>-1.0400000000000021E-3</v>
      </c>
      <c r="AL33" s="338">
        <f t="shared" ref="AL33" si="109">AL32 * AL31</f>
        <v>-1.1700000000000024E-3</v>
      </c>
      <c r="AM33" s="338" t="e">
        <f t="shared" ref="AM33" si="110">AM32 * AM31</f>
        <v>#DIV/0!</v>
      </c>
      <c r="AN33" s="338">
        <f t="shared" ref="AN33" si="111">AN32 * AN31</f>
        <v>2.4285714285714288E-5</v>
      </c>
      <c r="AO33" s="338">
        <f t="shared" ref="AO33" si="112">AO32 * AO31</f>
        <v>4.8571428571428576E-5</v>
      </c>
      <c r="AP33" s="338">
        <f t="shared" ref="AP33" si="113">AP32 * AP31</f>
        <v>7.285714285714286E-5</v>
      </c>
      <c r="AQ33" s="338">
        <f t="shared" ref="AQ33" si="114">AQ32 * AQ31</f>
        <v>9.7142857142857152E-5</v>
      </c>
      <c r="AR33" s="338">
        <f t="shared" ref="AR33" si="115">AR32 * AR31</f>
        <v>1.2142857142857144E-4</v>
      </c>
      <c r="AS33" s="338">
        <f t="shared" ref="AS33" si="116">AS32 * AS31</f>
        <v>1.4571428571428572E-4</v>
      </c>
      <c r="AT33" s="338">
        <f t="shared" ref="AT33" si="117">AT32 * AT31</f>
        <v>1.7000000000000001E-4</v>
      </c>
      <c r="AU33" s="338">
        <f t="shared" ref="AU33" si="118">AU32 * AU31</f>
        <v>1.942857142857143E-4</v>
      </c>
      <c r="AV33" s="338">
        <f t="shared" ref="AV33" si="119">AV32 * AV31</f>
        <v>2.1857142857142859E-4</v>
      </c>
      <c r="AW33" s="338">
        <f t="shared" ref="AW33" si="120">AW32 * AW31</f>
        <v>2.4285714285714289E-4</v>
      </c>
      <c r="AX33" s="338">
        <f t="shared" ref="AX33" si="121">AX32 * AX31</f>
        <v>2.6714285714285718E-4</v>
      </c>
      <c r="AY33" s="338">
        <f t="shared" ref="AY33" si="122">AY32 * AY31</f>
        <v>2.9142857142857144E-4</v>
      </c>
      <c r="AZ33" s="338">
        <f t="shared" ref="AZ33" si="123">AZ32 * AZ31</f>
        <v>3.1571428571428576E-4</v>
      </c>
      <c r="BA33" s="338">
        <f t="shared" ref="BA33" si="124">BA32 * BA31</f>
        <v>3.4000000000000002E-4</v>
      </c>
      <c r="BB33" s="338">
        <f t="shared" ref="BB33" si="125">BB32 * BB31</f>
        <v>3.6428571428571434E-4</v>
      </c>
      <c r="BC33" s="338">
        <f t="shared" ref="BC33" si="126">BC32 * BC31</f>
        <v>3.8857142857142861E-4</v>
      </c>
      <c r="BD33" s="338">
        <f t="shared" ref="BD33" si="127">BD32 * BD31</f>
        <v>4.1285714285714287E-4</v>
      </c>
      <c r="BE33" s="338">
        <f t="shared" ref="BE33" si="128">BE32 * BE31</f>
        <v>4.3714285714285719E-4</v>
      </c>
      <c r="BF33" s="338">
        <f t="shared" ref="BF33" si="129">BF32 * BF31</f>
        <v>4.6142857142857145E-4</v>
      </c>
      <c r="BG33" s="338">
        <f t="shared" ref="BG33" si="130">BG32 * BG31</f>
        <v>4.8571428571428577E-4</v>
      </c>
      <c r="BH33" s="338">
        <f t="shared" ref="BH33" si="131">BH32 * BH31</f>
        <v>5.1000000000000004E-4</v>
      </c>
      <c r="BI33" s="338">
        <f t="shared" ref="BI33" si="132">BI32 * BI31</f>
        <v>5.3428571428571436E-4</v>
      </c>
      <c r="BJ33" s="338">
        <f t="shared" ref="BJ33" si="133">BJ32 * BJ31</f>
        <v>5.5857142857142867E-4</v>
      </c>
      <c r="BK33" s="338">
        <f t="shared" ref="BK33" si="134">BK32 * BK31</f>
        <v>5.8285714285714288E-4</v>
      </c>
      <c r="BL33" s="338">
        <f t="shared" ref="BL33" si="135">BL32 * BL31</f>
        <v>6.071428571428572E-4</v>
      </c>
      <c r="BM33" s="338">
        <f t="shared" ref="BM33" si="136">BM32 * BM31</f>
        <v>6.3142857142857152E-4</v>
      </c>
      <c r="BN33" s="338">
        <f t="shared" ref="BN33" si="137">BN32 * BN31</f>
        <v>6.5571428571428573E-4</v>
      </c>
      <c r="BO33" s="338">
        <f t="shared" ref="BO33" si="138">BO32 * BO31</f>
        <v>6.8000000000000005E-4</v>
      </c>
      <c r="BP33" s="338">
        <f t="shared" ref="BP33" si="139">BP32 * BP31</f>
        <v>7.0428571428571437E-4</v>
      </c>
      <c r="BQ33" s="338">
        <f t="shared" ref="BQ33" si="140">BQ32 * BQ31</f>
        <v>7.2857142857142869E-4</v>
      </c>
      <c r="BR33" s="338">
        <f t="shared" ref="BR33" si="141">BR32 * BR31</f>
        <v>7.528571428571429E-4</v>
      </c>
      <c r="BS33" s="338">
        <f t="shared" ref="BS33" si="142">BS32 * BS31</f>
        <v>7.7714285714285721E-4</v>
      </c>
      <c r="BT33" s="338">
        <f t="shared" ref="BT33" si="143">BT32 * BT31</f>
        <v>8.0142857142857153E-4</v>
      </c>
      <c r="BU33" s="338">
        <f t="shared" ref="BU33" si="144">BU32 * BU31</f>
        <v>8.2571428571428574E-4</v>
      </c>
      <c r="BV33" s="338">
        <f t="shared" ref="BV33" si="145">BV32 * BV31</f>
        <v>8.5000000000000006E-4</v>
      </c>
    </row>
    <row r="34" spans="1:74" hidden="1" outlineLevel="1">
      <c r="G34" s="12" t="s">
        <v>541</v>
      </c>
      <c r="H34" s="331"/>
      <c r="I34" s="231"/>
      <c r="J34" s="338" t="e">
        <f xml:space="preserve"> _xlfn.XLOOKUP(J$4,Dashboard!$C$32:$C$38,Dashboard!$H$32:$H$38,,-1) + J33</f>
        <v>#DIV/0!</v>
      </c>
      <c r="K34" s="338" t="e">
        <f xml:space="preserve"> _xlfn.XLOOKUP(K$4,Dashboard!$C$32:$C$38,Dashboard!$H$32:$H$38,,-1) + K33</f>
        <v>#DIV/0!</v>
      </c>
      <c r="L34" s="338">
        <f xml:space="preserve"> _xlfn.XLOOKUP(L$4,Dashboard!$C$32:$C$38,Dashboard!$H$32:$H$38,,-1) + L33</f>
        <v>4.9166666666666664E-2</v>
      </c>
      <c r="M34" s="338">
        <f xml:space="preserve"> _xlfn.XLOOKUP(M$4,Dashboard!$C$32:$C$38,Dashboard!$H$32:$H$38,,-1) + M33</f>
        <v>4.7933333333333335E-2</v>
      </c>
      <c r="N34" s="338" t="e">
        <f xml:space="preserve"> _xlfn.XLOOKUP(N$4,Dashboard!$C$32:$C$38,Dashboard!$H$32:$H$38,,-1) + N33</f>
        <v>#DIV/0!</v>
      </c>
      <c r="O34" s="338">
        <f xml:space="preserve"> _xlfn.XLOOKUP(O$4,Dashboard!$C$32:$C$38,Dashboard!$H$32:$H$38,,-1) + O33</f>
        <v>4.6759999999999996E-2</v>
      </c>
      <c r="P34" s="338">
        <f xml:space="preserve"> _xlfn.XLOOKUP(P$4,Dashboard!$C$32:$C$38,Dashboard!$H$32:$H$38,,-1) + P33</f>
        <v>4.6820000000000001E-2</v>
      </c>
      <c r="Q34" s="338">
        <f xml:space="preserve"> _xlfn.XLOOKUP(Q$4,Dashboard!$C$32:$C$38,Dashboard!$H$32:$H$38,,-1) + Q33</f>
        <v>4.6879999999999998E-2</v>
      </c>
      <c r="R34" s="338">
        <f xml:space="preserve"> _xlfn.XLOOKUP(R$4,Dashboard!$C$32:$C$38,Dashboard!$H$32:$H$38,,-1) + R33</f>
        <v>4.6940000000000003E-2</v>
      </c>
      <c r="S34" s="338" t="e">
        <f xml:space="preserve"> _xlfn.XLOOKUP(S$4,Dashboard!$C$32:$C$38,Dashboard!$H$32:$H$38,,-1) + S33</f>
        <v>#DIV/0!</v>
      </c>
      <c r="T34" s="338">
        <f xml:space="preserve"> _xlfn.XLOOKUP(T$4,Dashboard!$C$32:$C$38,Dashboard!$H$32:$H$38,,-1) + T33</f>
        <v>4.7259999999999996E-2</v>
      </c>
      <c r="U34" s="338">
        <f xml:space="preserve"> _xlfn.XLOOKUP(U$4,Dashboard!$C$32:$C$38,Dashboard!$H$32:$H$38,,-1) + U33</f>
        <v>4.752E-2</v>
      </c>
      <c r="V34" s="338">
        <f xml:space="preserve"> _xlfn.XLOOKUP(V$4,Dashboard!$C$32:$C$38,Dashboard!$H$32:$H$38,,-1) + V33</f>
        <v>4.7780000000000003E-2</v>
      </c>
      <c r="W34" s="338">
        <f xml:space="preserve"> _xlfn.XLOOKUP(W$4,Dashboard!$C$32:$C$38,Dashboard!$H$32:$H$38,,-1) + W33</f>
        <v>4.8039999999999999E-2</v>
      </c>
      <c r="X34" s="338">
        <f xml:space="preserve"> _xlfn.XLOOKUP(X$4,Dashboard!$C$32:$C$38,Dashboard!$H$32:$H$38,,-1) + X33</f>
        <v>4.8299999999999996E-2</v>
      </c>
      <c r="Y34" s="338">
        <f xml:space="preserve"> _xlfn.XLOOKUP(Y$4,Dashboard!$C$32:$C$38,Dashboard!$H$32:$H$38,,-1) + Y33</f>
        <v>4.8559999999999999E-2</v>
      </c>
      <c r="Z34" s="338">
        <f xml:space="preserve"> _xlfn.XLOOKUP(Z$4,Dashboard!$C$32:$C$38,Dashboard!$H$32:$H$38,,-1) + Z33</f>
        <v>4.8820000000000002E-2</v>
      </c>
      <c r="AA34" s="338">
        <f xml:space="preserve"> _xlfn.XLOOKUP(AA$4,Dashboard!$C$32:$C$38,Dashboard!$H$32:$H$38,,-1) + AA33</f>
        <v>4.9079999999999999E-2</v>
      </c>
      <c r="AB34" s="338">
        <f xml:space="preserve"> _xlfn.XLOOKUP(AB$4,Dashboard!$C$32:$C$38,Dashboard!$H$32:$H$38,,-1) + AB33</f>
        <v>4.9339999999999995E-2</v>
      </c>
      <c r="AC34" s="338" t="e">
        <f xml:space="preserve"> _xlfn.XLOOKUP(AC$4,Dashboard!$C$32:$C$38,Dashboard!$H$32:$H$38,,-1) + AC33</f>
        <v>#DIV/0!</v>
      </c>
      <c r="AD34" s="338">
        <f xml:space="preserve"> _xlfn.XLOOKUP(AD$4,Dashboard!$C$32:$C$38,Dashboard!$H$32:$H$38,,-1) + AD33</f>
        <v>4.947E-2</v>
      </c>
      <c r="AE34" s="338">
        <f xml:space="preserve"> _xlfn.XLOOKUP(AE$4,Dashboard!$C$32:$C$38,Dashboard!$H$32:$H$38,,-1) + AE33</f>
        <v>4.9339999999999995E-2</v>
      </c>
      <c r="AF34" s="338">
        <f xml:space="preserve"> _xlfn.XLOOKUP(AF$4,Dashboard!$C$32:$C$38,Dashboard!$H$32:$H$38,,-1) + AF33</f>
        <v>4.9209999999999997E-2</v>
      </c>
      <c r="AG34" s="338">
        <f xml:space="preserve"> _xlfn.XLOOKUP(AG$4,Dashboard!$C$32:$C$38,Dashboard!$H$32:$H$38,,-1) + AG33</f>
        <v>4.9079999999999999E-2</v>
      </c>
      <c r="AH34" s="338">
        <f xml:space="preserve"> _xlfn.XLOOKUP(AH$4,Dashboard!$C$32:$C$38,Dashboard!$H$32:$H$38,,-1) + AH33</f>
        <v>4.8949999999999994E-2</v>
      </c>
      <c r="AI34" s="338">
        <f xml:space="preserve"> _xlfn.XLOOKUP(AI$4,Dashboard!$C$32:$C$38,Dashboard!$H$32:$H$38,,-1) + AI33</f>
        <v>4.8819999999999995E-2</v>
      </c>
      <c r="AJ34" s="338">
        <f xml:space="preserve"> _xlfn.XLOOKUP(AJ$4,Dashboard!$C$32:$C$38,Dashboard!$H$32:$H$38,,-1) + AJ33</f>
        <v>4.8689999999999997E-2</v>
      </c>
      <c r="AK34" s="338">
        <f xml:space="preserve"> _xlfn.XLOOKUP(AK$4,Dashboard!$C$32:$C$38,Dashboard!$H$32:$H$38,,-1) + AK33</f>
        <v>4.8559999999999999E-2</v>
      </c>
      <c r="AL34" s="338">
        <f xml:space="preserve"> _xlfn.XLOOKUP(AL$4,Dashboard!$C$32:$C$38,Dashboard!$H$32:$H$38,,-1) + AL33</f>
        <v>4.8429999999999994E-2</v>
      </c>
      <c r="AM34" s="338" t="e">
        <f xml:space="preserve"> _xlfn.XLOOKUP(AM$4,Dashboard!$C$32:$C$38,Dashboard!$H$32:$H$38,,-1) + AM33</f>
        <v>#DIV/0!</v>
      </c>
      <c r="AN34" s="338">
        <f xml:space="preserve"> _xlfn.XLOOKUP(AN$4,Dashboard!$C$32:$C$38,Dashboard!$H$32:$H$38,,-1) + AN33</f>
        <v>4.8324285714285709E-2</v>
      </c>
      <c r="AO34" s="338">
        <f xml:space="preserve"> _xlfn.XLOOKUP(AO$4,Dashboard!$C$32:$C$38,Dashboard!$H$32:$H$38,,-1) + AO33</f>
        <v>4.8348571428571421E-2</v>
      </c>
      <c r="AP34" s="338">
        <f xml:space="preserve"> _xlfn.XLOOKUP(AP$4,Dashboard!$C$32:$C$38,Dashboard!$H$32:$H$38,,-1) + AP33</f>
        <v>4.8372857142857141E-2</v>
      </c>
      <c r="AQ34" s="338">
        <f xml:space="preserve"> _xlfn.XLOOKUP(AQ$4,Dashboard!$C$32:$C$38,Dashboard!$H$32:$H$38,,-1) + AQ33</f>
        <v>4.8397142857142854E-2</v>
      </c>
      <c r="AR34" s="338">
        <f xml:space="preserve"> _xlfn.XLOOKUP(AR$4,Dashboard!$C$32:$C$38,Dashboard!$H$32:$H$38,,-1) + AR33</f>
        <v>4.8421428571428567E-2</v>
      </c>
      <c r="AS34" s="338">
        <f xml:space="preserve"> _xlfn.XLOOKUP(AS$4,Dashboard!$C$32:$C$38,Dashboard!$H$32:$H$38,,-1) + AS33</f>
        <v>4.8445714285714279E-2</v>
      </c>
      <c r="AT34" s="338">
        <f xml:space="preserve"> _xlfn.XLOOKUP(AT$4,Dashboard!$C$32:$C$38,Dashboard!$H$32:$H$38,,-1) + AT33</f>
        <v>4.8469999999999999E-2</v>
      </c>
      <c r="AU34" s="338">
        <f xml:space="preserve"> _xlfn.XLOOKUP(AU$4,Dashboard!$C$32:$C$38,Dashboard!$H$32:$H$38,,-1) + AU33</f>
        <v>4.8494285714285712E-2</v>
      </c>
      <c r="AV34" s="338">
        <f xml:space="preserve"> _xlfn.XLOOKUP(AV$4,Dashboard!$C$32:$C$38,Dashboard!$H$32:$H$38,,-1) + AV33</f>
        <v>4.8518571428571425E-2</v>
      </c>
      <c r="AW34" s="338">
        <f xml:space="preserve"> _xlfn.XLOOKUP(AW$4,Dashboard!$C$32:$C$38,Dashboard!$H$32:$H$38,,-1) + AW33</f>
        <v>4.8542857142857138E-2</v>
      </c>
      <c r="AX34" s="338">
        <f xml:space="preserve"> _xlfn.XLOOKUP(AX$4,Dashboard!$C$32:$C$38,Dashboard!$H$32:$H$38,,-1) + AX33</f>
        <v>4.856714285714285E-2</v>
      </c>
      <c r="AY34" s="338">
        <f xml:space="preserve"> _xlfn.XLOOKUP(AY$4,Dashboard!$C$32:$C$38,Dashboard!$H$32:$H$38,,-1) + AY33</f>
        <v>4.859142857142857E-2</v>
      </c>
      <c r="AZ34" s="338">
        <f xml:space="preserve"> _xlfn.XLOOKUP(AZ$4,Dashboard!$C$32:$C$38,Dashboard!$H$32:$H$38,,-1) + AZ33</f>
        <v>4.8615714285714283E-2</v>
      </c>
      <c r="BA34" s="338">
        <f xml:space="preserve"> _xlfn.XLOOKUP(BA$4,Dashboard!$C$32:$C$38,Dashboard!$H$32:$H$38,,-1) + BA33</f>
        <v>4.8639999999999996E-2</v>
      </c>
      <c r="BB34" s="338">
        <f xml:space="preserve"> _xlfn.XLOOKUP(BB$4,Dashboard!$C$32:$C$38,Dashboard!$H$32:$H$38,,-1) + BB33</f>
        <v>4.8664285714285709E-2</v>
      </c>
      <c r="BC34" s="338">
        <f xml:space="preserve"> _xlfn.XLOOKUP(BC$4,Dashboard!$C$32:$C$38,Dashboard!$H$32:$H$38,,-1) + BC33</f>
        <v>4.8688571428571421E-2</v>
      </c>
      <c r="BD34" s="338">
        <f xml:space="preserve"> _xlfn.XLOOKUP(BD$4,Dashboard!$C$32:$C$38,Dashboard!$H$32:$H$38,,-1) + BD33</f>
        <v>4.8712857142857141E-2</v>
      </c>
      <c r="BE34" s="338">
        <f xml:space="preserve"> _xlfn.XLOOKUP(BE$4,Dashboard!$C$32:$C$38,Dashboard!$H$32:$H$38,,-1) + BE33</f>
        <v>4.8737142857142854E-2</v>
      </c>
      <c r="BF34" s="338">
        <f xml:space="preserve"> _xlfn.XLOOKUP(BF$4,Dashboard!$C$32:$C$38,Dashboard!$H$32:$H$38,,-1) + BF33</f>
        <v>4.8761428571428567E-2</v>
      </c>
      <c r="BG34" s="338">
        <f xml:space="preserve"> _xlfn.XLOOKUP(BG$4,Dashboard!$C$32:$C$38,Dashboard!$H$32:$H$38,,-1) + BG33</f>
        <v>4.8785714285714279E-2</v>
      </c>
      <c r="BH34" s="338">
        <f xml:space="preserve"> _xlfn.XLOOKUP(BH$4,Dashboard!$C$32:$C$38,Dashboard!$H$32:$H$38,,-1) + BH33</f>
        <v>4.8809999999999992E-2</v>
      </c>
      <c r="BI34" s="338">
        <f xml:space="preserve"> _xlfn.XLOOKUP(BI$4,Dashboard!$C$32:$C$38,Dashboard!$H$32:$H$38,,-1) + BI33</f>
        <v>4.8834285714285712E-2</v>
      </c>
      <c r="BJ34" s="338">
        <f xml:space="preserve"> _xlfn.XLOOKUP(BJ$4,Dashboard!$C$32:$C$38,Dashboard!$H$32:$H$38,,-1) + BJ33</f>
        <v>4.8858571428571425E-2</v>
      </c>
      <c r="BK34" s="338">
        <f xml:space="preserve"> _xlfn.XLOOKUP(BK$4,Dashboard!$C$32:$C$38,Dashboard!$H$32:$H$38,,-1) + BK33</f>
        <v>4.8882857142857138E-2</v>
      </c>
      <c r="BL34" s="338">
        <f xml:space="preserve"> _xlfn.XLOOKUP(BL$4,Dashboard!$C$32:$C$38,Dashboard!$H$32:$H$38,,-1) + BL33</f>
        <v>4.890714285714285E-2</v>
      </c>
      <c r="BM34" s="338">
        <f xml:space="preserve"> _xlfn.XLOOKUP(BM$4,Dashboard!$C$32:$C$38,Dashboard!$H$32:$H$38,,-1) + BM33</f>
        <v>4.893142857142857E-2</v>
      </c>
      <c r="BN34" s="338">
        <f xml:space="preserve"> _xlfn.XLOOKUP(BN$4,Dashboard!$C$32:$C$38,Dashboard!$H$32:$H$38,,-1) + BN33</f>
        <v>4.8955714285714283E-2</v>
      </c>
      <c r="BO34" s="338">
        <f xml:space="preserve"> _xlfn.XLOOKUP(BO$4,Dashboard!$C$32:$C$38,Dashboard!$H$32:$H$38,,-1) + BO33</f>
        <v>4.8979999999999996E-2</v>
      </c>
      <c r="BP34" s="338">
        <f xml:space="preserve"> _xlfn.XLOOKUP(BP$4,Dashboard!$C$32:$C$38,Dashboard!$H$32:$H$38,,-1) + BP33</f>
        <v>4.9004285714285709E-2</v>
      </c>
      <c r="BQ34" s="338">
        <f xml:space="preserve"> _xlfn.XLOOKUP(BQ$4,Dashboard!$C$32:$C$38,Dashboard!$H$32:$H$38,,-1) + BQ33</f>
        <v>4.9028571428571421E-2</v>
      </c>
      <c r="BR34" s="338">
        <f xml:space="preserve"> _xlfn.XLOOKUP(BR$4,Dashboard!$C$32:$C$38,Dashboard!$H$32:$H$38,,-1) + BR33</f>
        <v>4.9052857142857141E-2</v>
      </c>
      <c r="BS34" s="338">
        <f xml:space="preserve"> _xlfn.XLOOKUP(BS$4,Dashboard!$C$32:$C$38,Dashboard!$H$32:$H$38,,-1) + BS33</f>
        <v>4.9077142857142854E-2</v>
      </c>
      <c r="BT34" s="338">
        <f xml:space="preserve"> _xlfn.XLOOKUP(BT$4,Dashboard!$C$32:$C$38,Dashboard!$H$32:$H$38,,-1) + BT33</f>
        <v>4.9101428571428567E-2</v>
      </c>
      <c r="BU34" s="338">
        <f xml:space="preserve"> _xlfn.XLOOKUP(BU$4,Dashboard!$C$32:$C$38,Dashboard!$H$32:$H$38,,-1) + BU33</f>
        <v>4.912571428571428E-2</v>
      </c>
      <c r="BV34" s="338">
        <f xml:space="preserve"> _xlfn.XLOOKUP(BV$4,Dashboard!$C$32:$C$38,Dashboard!$H$32:$H$38,,-1) + BV33</f>
        <v>4.9149999999999999E-2</v>
      </c>
    </row>
    <row r="35" spans="1:74" collapsed="1">
      <c r="G35" s="12" t="s">
        <v>543</v>
      </c>
      <c r="H35" s="104"/>
      <c r="I35" s="231"/>
      <c r="J35" s="337">
        <f>_xlfn.XLOOKUP(J4,Dashboard!$C$32:$C$38,Dashboard!$H$32:$H$38, J34,0)</f>
        <v>5.4399999999999997E-2</v>
      </c>
      <c r="K35" s="337">
        <f>_xlfn.XLOOKUP(K4,Dashboard!$C$32:$C$38,Dashboard!$H$32:$H$38, K34,0)</f>
        <v>5.04E-2</v>
      </c>
      <c r="L35" s="337">
        <f>_xlfn.XLOOKUP(L4,Dashboard!$C$32:$C$38,Dashboard!$H$32:$H$38, L34,0)</f>
        <v>4.9166666666666664E-2</v>
      </c>
      <c r="M35" s="337">
        <f>_xlfn.XLOOKUP(M4,Dashboard!$C$32:$C$38,Dashboard!$H$32:$H$38, M34,0)</f>
        <v>4.7933333333333335E-2</v>
      </c>
      <c r="N35" s="337">
        <f>_xlfn.XLOOKUP(N4,Dashboard!$C$32:$C$38,Dashboard!$H$32:$H$38, N34,0)</f>
        <v>4.6699999999999998E-2</v>
      </c>
      <c r="O35" s="337">
        <f>_xlfn.XLOOKUP(O4,Dashboard!$C$32:$C$38,Dashboard!$H$32:$H$38, O34,0)</f>
        <v>4.6759999999999996E-2</v>
      </c>
      <c r="P35" s="337">
        <f>_xlfn.XLOOKUP(P4,Dashboard!$C$32:$C$38,Dashboard!$H$32:$H$38, P34,0)</f>
        <v>4.6820000000000001E-2</v>
      </c>
      <c r="Q35" s="337">
        <f>_xlfn.XLOOKUP(Q4,Dashboard!$C$32:$C$38,Dashboard!$H$32:$H$38, Q34,0)</f>
        <v>4.6879999999999998E-2</v>
      </c>
      <c r="R35" s="337">
        <f>_xlfn.XLOOKUP(R4,Dashboard!$C$32:$C$38,Dashboard!$H$32:$H$38, R34,0)</f>
        <v>4.6940000000000003E-2</v>
      </c>
      <c r="S35" s="337">
        <f>_xlfn.XLOOKUP(S4,Dashboard!$C$32:$C$38,Dashboard!$H$32:$H$38, S34,0)</f>
        <v>4.7E-2</v>
      </c>
      <c r="T35" s="337">
        <f>_xlfn.XLOOKUP(T4,Dashboard!$C$32:$C$38,Dashboard!$H$32:$H$38, T34,0)</f>
        <v>4.7259999999999996E-2</v>
      </c>
      <c r="U35" s="337">
        <f>_xlfn.XLOOKUP(U4,Dashboard!$C$32:$C$38,Dashboard!$H$32:$H$38, U34,0)</f>
        <v>4.752E-2</v>
      </c>
      <c r="V35" s="337">
        <f>_xlfn.XLOOKUP(V4,Dashboard!$C$32:$C$38,Dashboard!$H$32:$H$38, V34,0)</f>
        <v>4.7780000000000003E-2</v>
      </c>
      <c r="W35" s="337">
        <f>_xlfn.XLOOKUP(W4,Dashboard!$C$32:$C$38,Dashboard!$H$32:$H$38, W34,0)</f>
        <v>4.8039999999999999E-2</v>
      </c>
      <c r="X35" s="337">
        <f>_xlfn.XLOOKUP(X4,Dashboard!$C$32:$C$38,Dashboard!$H$32:$H$38, X34,0)</f>
        <v>4.8299999999999996E-2</v>
      </c>
      <c r="Y35" s="337">
        <f>_xlfn.XLOOKUP(Y4,Dashboard!$C$32:$C$38,Dashboard!$H$32:$H$38, Y34,0)</f>
        <v>4.8559999999999999E-2</v>
      </c>
      <c r="Z35" s="337">
        <f>_xlfn.XLOOKUP(Z4,Dashboard!$C$32:$C$38,Dashboard!$H$32:$H$38, Z34,0)</f>
        <v>4.8820000000000002E-2</v>
      </c>
      <c r="AA35" s="337">
        <f>_xlfn.XLOOKUP(AA4,Dashboard!$C$32:$C$38,Dashboard!$H$32:$H$38, AA34,0)</f>
        <v>4.9079999999999999E-2</v>
      </c>
      <c r="AB35" s="337">
        <f>_xlfn.XLOOKUP(AB4,Dashboard!$C$32:$C$38,Dashboard!$H$32:$H$38, AB34,0)</f>
        <v>4.9339999999999995E-2</v>
      </c>
      <c r="AC35" s="337">
        <f>_xlfn.XLOOKUP(AC4,Dashboard!$C$32:$C$38,Dashboard!$H$32:$H$38, AC34,0)</f>
        <v>4.9599999999999998E-2</v>
      </c>
      <c r="AD35" s="337">
        <f>_xlfn.XLOOKUP(AD4,Dashboard!$C$32:$C$38,Dashboard!$H$32:$H$38, AD34,0)</f>
        <v>4.947E-2</v>
      </c>
      <c r="AE35" s="337">
        <f>_xlfn.XLOOKUP(AE4,Dashboard!$C$32:$C$38,Dashboard!$H$32:$H$38, AE34,0)</f>
        <v>4.9339999999999995E-2</v>
      </c>
      <c r="AF35" s="337">
        <f>_xlfn.XLOOKUP(AF4,Dashboard!$C$32:$C$38,Dashboard!$H$32:$H$38, AF34,0)</f>
        <v>4.9209999999999997E-2</v>
      </c>
      <c r="AG35" s="337">
        <f>_xlfn.XLOOKUP(AG4,Dashboard!$C$32:$C$38,Dashboard!$H$32:$H$38, AG34,0)</f>
        <v>4.9079999999999999E-2</v>
      </c>
      <c r="AH35" s="337">
        <f>_xlfn.XLOOKUP(AH4,Dashboard!$C$32:$C$38,Dashboard!$H$32:$H$38, AH34,0)</f>
        <v>4.8949999999999994E-2</v>
      </c>
      <c r="AI35" s="337">
        <f>_xlfn.XLOOKUP(AI4,Dashboard!$C$32:$C$38,Dashboard!$H$32:$H$38, AI34,0)</f>
        <v>4.8819999999999995E-2</v>
      </c>
      <c r="AJ35" s="337">
        <f>_xlfn.XLOOKUP(AJ4,Dashboard!$C$32:$C$38,Dashboard!$H$32:$H$38, AJ34,0)</f>
        <v>4.8689999999999997E-2</v>
      </c>
      <c r="AK35" s="337">
        <f>_xlfn.XLOOKUP(AK4,Dashboard!$C$32:$C$38,Dashboard!$H$32:$H$38, AK34,0)</f>
        <v>4.8559999999999999E-2</v>
      </c>
      <c r="AL35" s="337">
        <f>_xlfn.XLOOKUP(AL4,Dashboard!$C$32:$C$38,Dashboard!$H$32:$H$38, AL34,0)</f>
        <v>4.8429999999999994E-2</v>
      </c>
      <c r="AM35" s="337">
        <f>_xlfn.XLOOKUP(AM4,Dashboard!$C$32:$C$38,Dashboard!$H$32:$H$38, AM34,0)</f>
        <v>4.8299999999999996E-2</v>
      </c>
      <c r="AN35" s="337">
        <f>_xlfn.XLOOKUP(AN4,Dashboard!$C$32:$C$38,Dashboard!$H$32:$H$38, AN34,0)</f>
        <v>4.8324285714285709E-2</v>
      </c>
      <c r="AO35" s="337">
        <f>_xlfn.XLOOKUP(AO4,Dashboard!$C$32:$C$38,Dashboard!$H$32:$H$38, AO34,0)</f>
        <v>4.8348571428571421E-2</v>
      </c>
      <c r="AP35" s="337">
        <f>_xlfn.XLOOKUP(AP4,Dashboard!$C$32:$C$38,Dashboard!$H$32:$H$38, AP34,0)</f>
        <v>4.8372857142857141E-2</v>
      </c>
      <c r="AQ35" s="337">
        <f>_xlfn.XLOOKUP(AQ4,Dashboard!$C$32:$C$38,Dashboard!$H$32:$H$38, AQ34,0)</f>
        <v>4.8397142857142854E-2</v>
      </c>
      <c r="AR35" s="337">
        <f>_xlfn.XLOOKUP(AR4,Dashboard!$C$32:$C$38,Dashboard!$H$32:$H$38, AR34,0)</f>
        <v>4.8421428571428567E-2</v>
      </c>
      <c r="AS35" s="337">
        <f>_xlfn.XLOOKUP(AS4,Dashboard!$C$32:$C$38,Dashboard!$H$32:$H$38, AS34,0)</f>
        <v>4.8445714285714279E-2</v>
      </c>
      <c r="AT35" s="337">
        <f>_xlfn.XLOOKUP(AT4,Dashboard!$C$32:$C$38,Dashboard!$H$32:$H$38, AT34,0)</f>
        <v>4.8469999999999999E-2</v>
      </c>
      <c r="AU35" s="337">
        <f>_xlfn.XLOOKUP(AU4,Dashboard!$C$32:$C$38,Dashboard!$H$32:$H$38, AU34,0)</f>
        <v>4.8494285714285712E-2</v>
      </c>
      <c r="AV35" s="337">
        <f>_xlfn.XLOOKUP(AV4,Dashboard!$C$32:$C$38,Dashboard!$H$32:$H$38, AV34,0)</f>
        <v>4.8518571428571425E-2</v>
      </c>
      <c r="AW35" s="337">
        <f>_xlfn.XLOOKUP(AW4,Dashboard!$C$32:$C$38,Dashboard!$H$32:$H$38, AW34,0)</f>
        <v>4.8542857142857138E-2</v>
      </c>
      <c r="AX35" s="337">
        <f>_xlfn.XLOOKUP(AX4,Dashboard!$C$32:$C$38,Dashboard!$H$32:$H$38, AX34,0)</f>
        <v>4.856714285714285E-2</v>
      </c>
      <c r="AY35" s="337">
        <f>_xlfn.XLOOKUP(AY4,Dashboard!$C$32:$C$38,Dashboard!$H$32:$H$38, AY34,0)</f>
        <v>4.859142857142857E-2</v>
      </c>
      <c r="AZ35" s="337">
        <f>_xlfn.XLOOKUP(AZ4,Dashboard!$C$32:$C$38,Dashboard!$H$32:$H$38, AZ34,0)</f>
        <v>4.8615714285714283E-2</v>
      </c>
      <c r="BA35" s="337">
        <f>_xlfn.XLOOKUP(BA4,Dashboard!$C$32:$C$38,Dashboard!$H$32:$H$38, BA34,0)</f>
        <v>4.8639999999999996E-2</v>
      </c>
      <c r="BB35" s="337">
        <f>_xlfn.XLOOKUP(BB4,Dashboard!$C$32:$C$38,Dashboard!$H$32:$H$38, BB34,0)</f>
        <v>4.8664285714285709E-2</v>
      </c>
      <c r="BC35" s="337">
        <f>_xlfn.XLOOKUP(BC4,Dashboard!$C$32:$C$38,Dashboard!$H$32:$H$38, BC34,0)</f>
        <v>4.8688571428571421E-2</v>
      </c>
      <c r="BD35" s="337">
        <f>_xlfn.XLOOKUP(BD4,Dashboard!$C$32:$C$38,Dashboard!$H$32:$H$38, BD34,0)</f>
        <v>4.8712857142857141E-2</v>
      </c>
      <c r="BE35" s="337">
        <f>_xlfn.XLOOKUP(BE4,Dashboard!$C$32:$C$38,Dashboard!$H$32:$H$38, BE34,0)</f>
        <v>4.8737142857142854E-2</v>
      </c>
      <c r="BF35" s="337">
        <f>_xlfn.XLOOKUP(BF4,Dashboard!$C$32:$C$38,Dashboard!$H$32:$H$38, BF34,0)</f>
        <v>4.8761428571428567E-2</v>
      </c>
      <c r="BG35" s="337">
        <f>_xlfn.XLOOKUP(BG4,Dashboard!$C$32:$C$38,Dashboard!$H$32:$H$38, BG34,0)</f>
        <v>4.8785714285714279E-2</v>
      </c>
      <c r="BH35" s="337">
        <f>_xlfn.XLOOKUP(BH4,Dashboard!$C$32:$C$38,Dashboard!$H$32:$H$38, BH34,0)</f>
        <v>4.8809999999999992E-2</v>
      </c>
      <c r="BI35" s="337">
        <f>_xlfn.XLOOKUP(BI4,Dashboard!$C$32:$C$38,Dashboard!$H$32:$H$38, BI34,0)</f>
        <v>4.8834285714285712E-2</v>
      </c>
      <c r="BJ35" s="337">
        <f>_xlfn.XLOOKUP(BJ4,Dashboard!$C$32:$C$38,Dashboard!$H$32:$H$38, BJ34,0)</f>
        <v>4.8858571428571425E-2</v>
      </c>
      <c r="BK35" s="337">
        <f>_xlfn.XLOOKUP(BK4,Dashboard!$C$32:$C$38,Dashboard!$H$32:$H$38, BK34,0)</f>
        <v>4.8882857142857138E-2</v>
      </c>
      <c r="BL35" s="337">
        <f>_xlfn.XLOOKUP(BL4,Dashboard!$C$32:$C$38,Dashboard!$H$32:$H$38, BL34,0)</f>
        <v>4.890714285714285E-2</v>
      </c>
      <c r="BM35" s="337">
        <f>_xlfn.XLOOKUP(BM4,Dashboard!$C$32:$C$38,Dashboard!$H$32:$H$38, BM34,0)</f>
        <v>4.893142857142857E-2</v>
      </c>
      <c r="BN35" s="337">
        <f>_xlfn.XLOOKUP(BN4,Dashboard!$C$32:$C$38,Dashboard!$H$32:$H$38, BN34,0)</f>
        <v>4.8955714285714283E-2</v>
      </c>
      <c r="BO35" s="337">
        <f>_xlfn.XLOOKUP(BO4,Dashboard!$C$32:$C$38,Dashboard!$H$32:$H$38, BO34,0)</f>
        <v>4.8979999999999996E-2</v>
      </c>
      <c r="BP35" s="337">
        <f>_xlfn.XLOOKUP(BP4,Dashboard!$C$32:$C$38,Dashboard!$H$32:$H$38, BP34,0)</f>
        <v>4.9004285714285709E-2</v>
      </c>
      <c r="BQ35" s="337">
        <f>_xlfn.XLOOKUP(BQ4,Dashboard!$C$32:$C$38,Dashboard!$H$32:$H$38, BQ34,0)</f>
        <v>4.9028571428571421E-2</v>
      </c>
      <c r="BR35" s="337">
        <f>_xlfn.XLOOKUP(BR4,Dashboard!$C$32:$C$38,Dashboard!$H$32:$H$38, BR34,0)</f>
        <v>4.9052857142857141E-2</v>
      </c>
      <c r="BS35" s="337">
        <f>_xlfn.XLOOKUP(BS4,Dashboard!$C$32:$C$38,Dashboard!$H$32:$H$38, BS34,0)</f>
        <v>4.9077142857142854E-2</v>
      </c>
      <c r="BT35" s="337">
        <f>_xlfn.XLOOKUP(BT4,Dashboard!$C$32:$C$38,Dashboard!$H$32:$H$38, BT34,0)</f>
        <v>4.9101428571428567E-2</v>
      </c>
      <c r="BU35" s="337">
        <f>_xlfn.XLOOKUP(BU4,Dashboard!$C$32:$C$38,Dashboard!$H$32:$H$38, BU34,0)</f>
        <v>4.912571428571428E-2</v>
      </c>
      <c r="BV35" s="337">
        <f>_xlfn.XLOOKUP(BV4,Dashboard!$C$32:$C$38,Dashboard!$H$32:$H$38, BV34,0)</f>
        <v>4.9149999999999999E-2</v>
      </c>
    </row>
    <row r="36" spans="1:74" ht="23.25">
      <c r="A36" s="10" t="s">
        <v>522</v>
      </c>
      <c r="B36" s="10"/>
      <c r="C36" s="10"/>
      <c r="D36" s="10"/>
      <c r="G36" s="12" t="s">
        <v>534</v>
      </c>
      <c r="H36" s="12"/>
      <c r="I36" s="105">
        <f>SUM(J36:BV36)</f>
        <v>872948.76427480392</v>
      </c>
      <c r="J36" s="105">
        <f>J27 / (1 + $J$35) ^ J$4</f>
        <v>52593.46116705751</v>
      </c>
      <c r="K36" s="105">
        <f t="shared" ref="K36:AO36" si="146">K27 / (1 + $J$35) ^ K$4</f>
        <v>130832.75993695745</v>
      </c>
      <c r="L36" s="105">
        <f t="shared" si="146"/>
        <v>47306.515293972894</v>
      </c>
      <c r="M36" s="105">
        <f t="shared" si="146"/>
        <v>28684.70136795914</v>
      </c>
      <c r="N36" s="105">
        <f t="shared" si="146"/>
        <v>27204.76229889903</v>
      </c>
      <c r="O36" s="105">
        <f t="shared" si="146"/>
        <v>25801.178204570402</v>
      </c>
      <c r="P36" s="105">
        <f t="shared" si="146"/>
        <v>24470.009678082704</v>
      </c>
      <c r="Q36" s="105">
        <f t="shared" si="146"/>
        <v>23207.520559638378</v>
      </c>
      <c r="R36" s="105">
        <f t="shared" si="146"/>
        <v>22010.167450339886</v>
      </c>
      <c r="S36" s="105">
        <f t="shared" si="146"/>
        <v>79751.637827823899</v>
      </c>
      <c r="T36" s="105">
        <f t="shared" si="146"/>
        <v>19797.600310142556</v>
      </c>
      <c r="U36" s="105">
        <f t="shared" si="146"/>
        <v>18776.176318420483</v>
      </c>
      <c r="V36" s="105">
        <f t="shared" si="146"/>
        <v>17807.45098484492</v>
      </c>
      <c r="W36" s="105">
        <f t="shared" si="146"/>
        <v>16888.705410513012</v>
      </c>
      <c r="X36" s="105">
        <f t="shared" si="146"/>
        <v>16017.360973551795</v>
      </c>
      <c r="Y36" s="105">
        <f t="shared" si="146"/>
        <v>15190.972091760048</v>
      </c>
      <c r="Z36" s="105">
        <f t="shared" si="146"/>
        <v>14407.219358649516</v>
      </c>
      <c r="AA36" s="105">
        <f t="shared" si="146"/>
        <v>12963.190057537451</v>
      </c>
      <c r="AB36" s="105">
        <f t="shared" si="146"/>
        <v>11629.815137949874</v>
      </c>
      <c r="AC36" s="105">
        <f t="shared" si="146"/>
        <v>7878.4245189883723</v>
      </c>
      <c r="AD36" s="105">
        <f t="shared" si="146"/>
        <v>7471.9504163395022</v>
      </c>
      <c r="AE36" s="105">
        <f t="shared" si="146"/>
        <v>7086.4476634479361</v>
      </c>
      <c r="AF36" s="105">
        <f t="shared" si="146"/>
        <v>6720.8342786873445</v>
      </c>
      <c r="AG36" s="105">
        <f t="shared" si="146"/>
        <v>6374.0841034591667</v>
      </c>
      <c r="AH36" s="105">
        <f t="shared" si="146"/>
        <v>6045.2239220970841</v>
      </c>
      <c r="AI36" s="105">
        <f t="shared" si="146"/>
        <v>5733.3307303652164</v>
      </c>
      <c r="AJ36" s="105">
        <f t="shared" si="146"/>
        <v>5437.5291448835524</v>
      </c>
      <c r="AK36" s="105">
        <f t="shared" si="146"/>
        <v>5156.9889462097426</v>
      </c>
      <c r="AL36" s="105">
        <f t="shared" si="146"/>
        <v>4890.9227486814698</v>
      </c>
      <c r="AM36" s="105">
        <f t="shared" si="146"/>
        <v>148935.6483447123</v>
      </c>
      <c r="AN36" s="105">
        <f t="shared" si="146"/>
        <v>4399.263837708073</v>
      </c>
      <c r="AO36" s="105">
        <f t="shared" si="146"/>
        <v>4172.2911966123602</v>
      </c>
      <c r="AP36" s="105">
        <f t="shared" ref="AP36:BV36" si="147">AP27 / (1 + $J$35) ^ AP$4</f>
        <v>3957.0288283501136</v>
      </c>
      <c r="AQ36" s="105">
        <f t="shared" si="147"/>
        <v>3752.8725610300776</v>
      </c>
      <c r="AR36" s="105">
        <f t="shared" si="147"/>
        <v>3559.2493939966598</v>
      </c>
      <c r="AS36" s="105">
        <f t="shared" si="147"/>
        <v>3375.6158896022953</v>
      </c>
      <c r="AT36" s="105">
        <f t="shared" si="147"/>
        <v>3201.4566479536179</v>
      </c>
      <c r="AU36" s="105">
        <f t="shared" si="147"/>
        <v>2429.0262882804391</v>
      </c>
      <c r="AV36" s="105">
        <f t="shared" si="147"/>
        <v>2073.3342748979467</v>
      </c>
      <c r="AW36" s="105">
        <f t="shared" si="147"/>
        <v>1966.3640695162619</v>
      </c>
      <c r="AX36" s="105">
        <f t="shared" si="147"/>
        <v>1864.912812515423</v>
      </c>
      <c r="AY36" s="105">
        <f t="shared" si="147"/>
        <v>1768.6957630077989</v>
      </c>
      <c r="AZ36" s="105">
        <f t="shared" si="147"/>
        <v>1677.4428708344071</v>
      </c>
      <c r="BA36" s="105">
        <f t="shared" si="147"/>
        <v>1590.898018621403</v>
      </c>
      <c r="BB36" s="105">
        <f t="shared" si="147"/>
        <v>1508.818302941391</v>
      </c>
      <c r="BC36" s="105">
        <f t="shared" si="147"/>
        <v>1430.9733525620177</v>
      </c>
      <c r="BD36" s="105">
        <f t="shared" si="147"/>
        <v>1206.3508283274471</v>
      </c>
      <c r="BE36" s="105">
        <f t="shared" si="147"/>
        <v>1144.1111801284587</v>
      </c>
      <c r="BF36" s="105">
        <f t="shared" si="147"/>
        <v>1085.0826822159133</v>
      </c>
      <c r="BG36" s="105">
        <f t="shared" si="147"/>
        <v>1029.099660675183</v>
      </c>
      <c r="BH36" s="105">
        <f t="shared" si="147"/>
        <v>976.00498925946829</v>
      </c>
      <c r="BI36" s="105">
        <f t="shared" si="147"/>
        <v>925.64964838720437</v>
      </c>
      <c r="BJ36" s="105">
        <f t="shared" si="147"/>
        <v>877.89230689226508</v>
      </c>
      <c r="BK36" s="105">
        <f t="shared" si="147"/>
        <v>832.59892535305869</v>
      </c>
      <c r="BL36" s="105">
        <f t="shared" si="147"/>
        <v>789.64237988719537</v>
      </c>
      <c r="BM36" s="105">
        <f t="shared" si="147"/>
        <v>748.90210535583788</v>
      </c>
      <c r="BN36" s="105">
        <f t="shared" si="147"/>
        <v>710.26375697632568</v>
      </c>
      <c r="BO36" s="105">
        <f t="shared" si="147"/>
        <v>673.61888939332857</v>
      </c>
      <c r="BP36" s="105">
        <f t="shared" si="147"/>
        <v>638.86465230778515</v>
      </c>
      <c r="BQ36" s="105">
        <f t="shared" si="147"/>
        <v>530.16556408318672</v>
      </c>
      <c r="BR36" s="105">
        <f t="shared" si="147"/>
        <v>502.81256077692206</v>
      </c>
      <c r="BS36" s="105">
        <f t="shared" si="147"/>
        <v>476.87078981119328</v>
      </c>
      <c r="BT36" s="105">
        <f t="shared" si="147"/>
        <v>0</v>
      </c>
      <c r="BU36" s="105">
        <f t="shared" si="147"/>
        <v>0</v>
      </c>
      <c r="BV36" s="105">
        <f t="shared" si="147"/>
        <v>0</v>
      </c>
    </row>
    <row r="37" spans="1:74">
      <c r="A37" s="153"/>
      <c r="B37" s="153" t="s">
        <v>386</v>
      </c>
      <c r="C37" s="153" t="s">
        <v>387</v>
      </c>
      <c r="D37" s="153" t="s">
        <v>523</v>
      </c>
    </row>
    <row r="38" spans="1:74">
      <c r="A38" t="s">
        <v>384</v>
      </c>
      <c r="B38" s="293">
        <v>2</v>
      </c>
      <c r="C38" s="293">
        <v>10</v>
      </c>
      <c r="D38" s="293">
        <v>30</v>
      </c>
    </row>
    <row r="39" spans="1:74">
      <c r="A39" t="s">
        <v>392</v>
      </c>
      <c r="B39" s="295">
        <f>B40 / (1 + _xlfn.XLOOKUP(B38,Dashboard!$C$32:$C$37,Dashboard!$H$32:$H$37)) ^ B38</f>
        <v>90.633880307592548</v>
      </c>
      <c r="C39" s="295">
        <f>C40 / (1 + _xlfn.XLOOKUP(C38,Dashboard!$C$32:$C$37,Dashboard!$H$32:$H$37)) ^ C38</f>
        <v>63.173244633087492</v>
      </c>
      <c r="D39" s="295">
        <f>D40 / (1 + _xlfn.XLOOKUP(D38,Dashboard!$C$32:$C$37,Dashboard!$H$32:$H$37)) ^ D38</f>
        <v>24.533177436341035</v>
      </c>
    </row>
    <row r="40" spans="1:74">
      <c r="A40" t="s">
        <v>389</v>
      </c>
      <c r="B40" s="295">
        <v>100</v>
      </c>
      <c r="C40" s="295">
        <v>100</v>
      </c>
      <c r="D40" s="295">
        <v>101</v>
      </c>
    </row>
    <row r="41" spans="1:74">
      <c r="A41" t="s">
        <v>405</v>
      </c>
      <c r="B41" s="352">
        <v>900</v>
      </c>
      <c r="C41" s="352">
        <v>1000</v>
      </c>
      <c r="D41" s="297">
        <v>7000</v>
      </c>
    </row>
    <row r="42" spans="1:74">
      <c r="A42" t="s">
        <v>404</v>
      </c>
      <c r="B42" s="294">
        <f>B40*B41</f>
        <v>90000</v>
      </c>
      <c r="C42" s="294">
        <f t="shared" ref="C42:D42" si="148">C40*C41</f>
        <v>100000</v>
      </c>
      <c r="D42" s="294">
        <f t="shared" si="148"/>
        <v>707000</v>
      </c>
    </row>
    <row r="43" spans="1:74">
      <c r="A43" t="s">
        <v>524</v>
      </c>
      <c r="B43" s="294">
        <f>B39*B41</f>
        <v>81570.492276833291</v>
      </c>
      <c r="C43" s="294">
        <f>C39*C41</f>
        <v>63173.244633087495</v>
      </c>
      <c r="D43" s="294">
        <f>D39*D41</f>
        <v>171732.24205438723</v>
      </c>
    </row>
    <row r="44" spans="1:74">
      <c r="A44" t="s">
        <v>12</v>
      </c>
      <c r="B44" s="145" t="s">
        <v>390</v>
      </c>
      <c r="C44" s="145" t="s">
        <v>390</v>
      </c>
      <c r="D44" s="145" t="s">
        <v>390</v>
      </c>
    </row>
  </sheetData>
  <phoneticPr fontId="3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8990" r:id="rId4" name="Button 46">
              <controlPr defaultSize="0" print="0" autoFill="0" autoPict="0" macro="[0]!effective_duration_calc">
                <anchor moveWithCells="1" sizeWithCells="1">
                  <from>
                    <xdr:col>3</xdr:col>
                    <xdr:colOff>133350</xdr:colOff>
                    <xdr:row>17</xdr:row>
                    <xdr:rowOff>171450</xdr:rowOff>
                  </from>
                  <to>
                    <xdr:col>4</xdr:col>
                    <xdr:colOff>828675</xdr:colOff>
                    <xdr:row>25</xdr:row>
                    <xdr:rowOff>171450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73187-7891-49BD-A8F2-9533EDEE1A34}">
  <sheetPr codeName="Sheet36">
    <tabColor theme="9"/>
  </sheetPr>
  <dimension ref="A1:BQ23"/>
  <sheetViews>
    <sheetView showGridLines="0" zoomScale="90" zoomScaleNormal="90" workbookViewId="0">
      <pane xSplit="3" ySplit="5" topLeftCell="D6" activePane="bottomRight" state="frozen"/>
      <selection pane="topRight" activeCell="D1" sqref="D1"/>
      <selection pane="bottomLeft" activeCell="A6" sqref="A6"/>
      <selection pane="bottomRight" activeCell="C8" sqref="C8"/>
    </sheetView>
  </sheetViews>
  <sheetFormatPr defaultColWidth="9.140625" defaultRowHeight="14.25"/>
  <cols>
    <col min="1" max="1" width="9.42578125" style="13" customWidth="1"/>
    <col min="2" max="2" width="29.42578125" style="13" customWidth="1"/>
    <col min="3" max="3" width="18.7109375" style="13" customWidth="1"/>
    <col min="4" max="4" width="2.85546875" style="13" customWidth="1"/>
    <col min="5" max="6" width="9.28515625" style="13" customWidth="1"/>
    <col min="7" max="7" width="10.140625" style="13" customWidth="1"/>
    <col min="8" max="8" width="12.5703125" style="13" customWidth="1"/>
    <col min="9" max="23" width="10.140625" style="13" customWidth="1"/>
    <col min="24" max="24" width="13.140625" style="13" customWidth="1"/>
    <col min="25" max="65" width="10.140625" style="13" customWidth="1"/>
    <col min="66" max="66" width="13.42578125" style="13" customWidth="1"/>
    <col min="67" max="69" width="10.140625" style="13" customWidth="1"/>
    <col min="70" max="16384" width="9.140625" style="13"/>
  </cols>
  <sheetData>
    <row r="1" spans="1:69" s="3" customFormat="1" ht="32.25">
      <c r="A1" s="13"/>
      <c r="B1" s="1" t="s">
        <v>518</v>
      </c>
      <c r="C1" s="1"/>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row>
    <row r="2" spans="1:69" s="3" customFormat="1" ht="23.25">
      <c r="A2" s="13"/>
      <c r="B2" s="4" t="s">
        <v>429</v>
      </c>
      <c r="C2" s="4"/>
      <c r="D2" s="37"/>
      <c r="E2" s="155"/>
      <c r="F2" s="37"/>
      <c r="G2" s="37"/>
      <c r="H2" s="37"/>
      <c r="I2" s="37"/>
      <c r="J2" s="37"/>
      <c r="K2" s="37"/>
      <c r="L2" s="37"/>
      <c r="M2" s="37"/>
      <c r="N2" s="37"/>
      <c r="O2" s="37"/>
      <c r="P2" s="37"/>
      <c r="Q2" s="37"/>
      <c r="R2" s="37"/>
      <c r="S2" s="37"/>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row>
    <row r="3" spans="1:69" ht="23.25">
      <c r="B3" s="89"/>
      <c r="C3" s="89"/>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row>
    <row r="4" spans="1:69" ht="15">
      <c r="B4" s="12"/>
      <c r="C4" s="330"/>
      <c r="D4" s="12"/>
      <c r="E4" s="102">
        <v>1</v>
      </c>
      <c r="F4" s="102">
        <f t="shared" ref="F4:BQ4" si="0">E4+1</f>
        <v>2</v>
      </c>
      <c r="G4" s="102">
        <f t="shared" si="0"/>
        <v>3</v>
      </c>
      <c r="H4" s="102">
        <f t="shared" si="0"/>
        <v>4</v>
      </c>
      <c r="I4" s="102">
        <f t="shared" si="0"/>
        <v>5</v>
      </c>
      <c r="J4" s="102">
        <f t="shared" si="0"/>
        <v>6</v>
      </c>
      <c r="K4" s="102">
        <f t="shared" si="0"/>
        <v>7</v>
      </c>
      <c r="L4" s="102">
        <f t="shared" si="0"/>
        <v>8</v>
      </c>
      <c r="M4" s="102">
        <f t="shared" si="0"/>
        <v>9</v>
      </c>
      <c r="N4" s="102">
        <f t="shared" si="0"/>
        <v>10</v>
      </c>
      <c r="O4" s="102">
        <f t="shared" si="0"/>
        <v>11</v>
      </c>
      <c r="P4" s="102">
        <f t="shared" si="0"/>
        <v>12</v>
      </c>
      <c r="Q4" s="102">
        <f t="shared" si="0"/>
        <v>13</v>
      </c>
      <c r="R4" s="102">
        <f t="shared" si="0"/>
        <v>14</v>
      </c>
      <c r="S4" s="102">
        <f t="shared" si="0"/>
        <v>15</v>
      </c>
      <c r="T4" s="102">
        <f t="shared" si="0"/>
        <v>16</v>
      </c>
      <c r="U4" s="102">
        <f t="shared" si="0"/>
        <v>17</v>
      </c>
      <c r="V4" s="102">
        <f t="shared" si="0"/>
        <v>18</v>
      </c>
      <c r="W4" s="102">
        <f t="shared" si="0"/>
        <v>19</v>
      </c>
      <c r="X4" s="102">
        <f t="shared" si="0"/>
        <v>20</v>
      </c>
      <c r="Y4" s="102">
        <f t="shared" si="0"/>
        <v>21</v>
      </c>
      <c r="Z4" s="102">
        <f t="shared" si="0"/>
        <v>22</v>
      </c>
      <c r="AA4" s="102">
        <f t="shared" si="0"/>
        <v>23</v>
      </c>
      <c r="AB4" s="102">
        <f t="shared" si="0"/>
        <v>24</v>
      </c>
      <c r="AC4" s="102">
        <f t="shared" si="0"/>
        <v>25</v>
      </c>
      <c r="AD4" s="102">
        <f t="shared" si="0"/>
        <v>26</v>
      </c>
      <c r="AE4" s="102">
        <f t="shared" si="0"/>
        <v>27</v>
      </c>
      <c r="AF4" s="102">
        <f t="shared" si="0"/>
        <v>28</v>
      </c>
      <c r="AG4" s="102">
        <f t="shared" si="0"/>
        <v>29</v>
      </c>
      <c r="AH4" s="102">
        <f t="shared" si="0"/>
        <v>30</v>
      </c>
      <c r="AI4" s="102">
        <f t="shared" si="0"/>
        <v>31</v>
      </c>
      <c r="AJ4" s="102">
        <f t="shared" si="0"/>
        <v>32</v>
      </c>
      <c r="AK4" s="102">
        <f t="shared" si="0"/>
        <v>33</v>
      </c>
      <c r="AL4" s="102">
        <f t="shared" si="0"/>
        <v>34</v>
      </c>
      <c r="AM4" s="102">
        <f t="shared" si="0"/>
        <v>35</v>
      </c>
      <c r="AN4" s="102">
        <f t="shared" si="0"/>
        <v>36</v>
      </c>
      <c r="AO4" s="102">
        <f t="shared" si="0"/>
        <v>37</v>
      </c>
      <c r="AP4" s="102">
        <f t="shared" si="0"/>
        <v>38</v>
      </c>
      <c r="AQ4" s="102">
        <f t="shared" si="0"/>
        <v>39</v>
      </c>
      <c r="AR4" s="102">
        <f t="shared" si="0"/>
        <v>40</v>
      </c>
      <c r="AS4" s="102">
        <f t="shared" si="0"/>
        <v>41</v>
      </c>
      <c r="AT4" s="102">
        <f t="shared" si="0"/>
        <v>42</v>
      </c>
      <c r="AU4" s="102">
        <f t="shared" si="0"/>
        <v>43</v>
      </c>
      <c r="AV4" s="102">
        <f t="shared" si="0"/>
        <v>44</v>
      </c>
      <c r="AW4" s="102">
        <f t="shared" si="0"/>
        <v>45</v>
      </c>
      <c r="AX4" s="102">
        <f t="shared" si="0"/>
        <v>46</v>
      </c>
      <c r="AY4" s="102">
        <f t="shared" si="0"/>
        <v>47</v>
      </c>
      <c r="AZ4" s="102">
        <f t="shared" si="0"/>
        <v>48</v>
      </c>
      <c r="BA4" s="102">
        <f t="shared" si="0"/>
        <v>49</v>
      </c>
      <c r="BB4" s="102">
        <f t="shared" si="0"/>
        <v>50</v>
      </c>
      <c r="BC4" s="102">
        <f t="shared" si="0"/>
        <v>51</v>
      </c>
      <c r="BD4" s="102">
        <f t="shared" si="0"/>
        <v>52</v>
      </c>
      <c r="BE4" s="102">
        <f t="shared" si="0"/>
        <v>53</v>
      </c>
      <c r="BF4" s="102">
        <f t="shared" si="0"/>
        <v>54</v>
      </c>
      <c r="BG4" s="102">
        <f t="shared" si="0"/>
        <v>55</v>
      </c>
      <c r="BH4" s="102">
        <f t="shared" si="0"/>
        <v>56</v>
      </c>
      <c r="BI4" s="102">
        <f t="shared" si="0"/>
        <v>57</v>
      </c>
      <c r="BJ4" s="102">
        <f t="shared" si="0"/>
        <v>58</v>
      </c>
      <c r="BK4" s="102">
        <f t="shared" si="0"/>
        <v>59</v>
      </c>
      <c r="BL4" s="102">
        <f t="shared" si="0"/>
        <v>60</v>
      </c>
      <c r="BM4" s="102">
        <f t="shared" si="0"/>
        <v>61</v>
      </c>
      <c r="BN4" s="102">
        <f t="shared" si="0"/>
        <v>62</v>
      </c>
      <c r="BO4" s="102">
        <f t="shared" si="0"/>
        <v>63</v>
      </c>
      <c r="BP4" s="102">
        <f t="shared" si="0"/>
        <v>64</v>
      </c>
      <c r="BQ4" s="102">
        <f t="shared" si="0"/>
        <v>65</v>
      </c>
    </row>
    <row r="5" spans="1:69" ht="15.75" thickBot="1">
      <c r="B5" s="12"/>
      <c r="C5" s="125" t="s">
        <v>536</v>
      </c>
      <c r="D5" s="125"/>
      <c r="E5" s="125">
        <v>2023</v>
      </c>
      <c r="F5" s="125">
        <f>E5+1</f>
        <v>2024</v>
      </c>
      <c r="G5" s="125">
        <f t="shared" ref="G5:BQ5" si="1">F5+1</f>
        <v>2025</v>
      </c>
      <c r="H5" s="125">
        <f t="shared" si="1"/>
        <v>2026</v>
      </c>
      <c r="I5" s="125">
        <f t="shared" si="1"/>
        <v>2027</v>
      </c>
      <c r="J5" s="125">
        <f t="shared" si="1"/>
        <v>2028</v>
      </c>
      <c r="K5" s="125">
        <f t="shared" si="1"/>
        <v>2029</v>
      </c>
      <c r="L5" s="125">
        <f t="shared" si="1"/>
        <v>2030</v>
      </c>
      <c r="M5" s="125">
        <f t="shared" si="1"/>
        <v>2031</v>
      </c>
      <c r="N5" s="125">
        <f t="shared" si="1"/>
        <v>2032</v>
      </c>
      <c r="O5" s="125">
        <f t="shared" si="1"/>
        <v>2033</v>
      </c>
      <c r="P5" s="125">
        <f t="shared" si="1"/>
        <v>2034</v>
      </c>
      <c r="Q5" s="125">
        <f t="shared" si="1"/>
        <v>2035</v>
      </c>
      <c r="R5" s="125">
        <f t="shared" si="1"/>
        <v>2036</v>
      </c>
      <c r="S5" s="125">
        <f t="shared" si="1"/>
        <v>2037</v>
      </c>
      <c r="T5" s="125">
        <f t="shared" si="1"/>
        <v>2038</v>
      </c>
      <c r="U5" s="125">
        <f t="shared" si="1"/>
        <v>2039</v>
      </c>
      <c r="V5" s="125">
        <f t="shared" si="1"/>
        <v>2040</v>
      </c>
      <c r="W5" s="125">
        <f t="shared" si="1"/>
        <v>2041</v>
      </c>
      <c r="X5" s="125">
        <f t="shared" si="1"/>
        <v>2042</v>
      </c>
      <c r="Y5" s="125">
        <f t="shared" si="1"/>
        <v>2043</v>
      </c>
      <c r="Z5" s="125">
        <f t="shared" si="1"/>
        <v>2044</v>
      </c>
      <c r="AA5" s="125">
        <f t="shared" si="1"/>
        <v>2045</v>
      </c>
      <c r="AB5" s="125">
        <f t="shared" si="1"/>
        <v>2046</v>
      </c>
      <c r="AC5" s="125">
        <f t="shared" si="1"/>
        <v>2047</v>
      </c>
      <c r="AD5" s="125">
        <f t="shared" si="1"/>
        <v>2048</v>
      </c>
      <c r="AE5" s="125">
        <f t="shared" si="1"/>
        <v>2049</v>
      </c>
      <c r="AF5" s="125">
        <f t="shared" si="1"/>
        <v>2050</v>
      </c>
      <c r="AG5" s="125">
        <f t="shared" si="1"/>
        <v>2051</v>
      </c>
      <c r="AH5" s="125">
        <f t="shared" si="1"/>
        <v>2052</v>
      </c>
      <c r="AI5" s="125">
        <f t="shared" si="1"/>
        <v>2053</v>
      </c>
      <c r="AJ5" s="125">
        <f t="shared" si="1"/>
        <v>2054</v>
      </c>
      <c r="AK5" s="125">
        <f t="shared" si="1"/>
        <v>2055</v>
      </c>
      <c r="AL5" s="125">
        <f t="shared" si="1"/>
        <v>2056</v>
      </c>
      <c r="AM5" s="125">
        <f t="shared" si="1"/>
        <v>2057</v>
      </c>
      <c r="AN5" s="125">
        <f t="shared" si="1"/>
        <v>2058</v>
      </c>
      <c r="AO5" s="125">
        <f t="shared" si="1"/>
        <v>2059</v>
      </c>
      <c r="AP5" s="125">
        <f t="shared" si="1"/>
        <v>2060</v>
      </c>
      <c r="AQ5" s="125">
        <f t="shared" si="1"/>
        <v>2061</v>
      </c>
      <c r="AR5" s="125">
        <f t="shared" si="1"/>
        <v>2062</v>
      </c>
      <c r="AS5" s="125">
        <f t="shared" si="1"/>
        <v>2063</v>
      </c>
      <c r="AT5" s="125">
        <f t="shared" si="1"/>
        <v>2064</v>
      </c>
      <c r="AU5" s="125">
        <f t="shared" si="1"/>
        <v>2065</v>
      </c>
      <c r="AV5" s="125">
        <f t="shared" si="1"/>
        <v>2066</v>
      </c>
      <c r="AW5" s="125">
        <f t="shared" si="1"/>
        <v>2067</v>
      </c>
      <c r="AX5" s="125">
        <f t="shared" si="1"/>
        <v>2068</v>
      </c>
      <c r="AY5" s="125">
        <f t="shared" si="1"/>
        <v>2069</v>
      </c>
      <c r="AZ5" s="125">
        <f t="shared" si="1"/>
        <v>2070</v>
      </c>
      <c r="BA5" s="125">
        <f t="shared" si="1"/>
        <v>2071</v>
      </c>
      <c r="BB5" s="125">
        <f t="shared" si="1"/>
        <v>2072</v>
      </c>
      <c r="BC5" s="125">
        <f t="shared" si="1"/>
        <v>2073</v>
      </c>
      <c r="BD5" s="125">
        <f t="shared" si="1"/>
        <v>2074</v>
      </c>
      <c r="BE5" s="125">
        <f t="shared" si="1"/>
        <v>2075</v>
      </c>
      <c r="BF5" s="125">
        <f t="shared" si="1"/>
        <v>2076</v>
      </c>
      <c r="BG5" s="125">
        <f t="shared" si="1"/>
        <v>2077</v>
      </c>
      <c r="BH5" s="125">
        <f t="shared" si="1"/>
        <v>2078</v>
      </c>
      <c r="BI5" s="125">
        <f t="shared" si="1"/>
        <v>2079</v>
      </c>
      <c r="BJ5" s="125">
        <f t="shared" si="1"/>
        <v>2080</v>
      </c>
      <c r="BK5" s="125">
        <f t="shared" si="1"/>
        <v>2081</v>
      </c>
      <c r="BL5" s="125">
        <f t="shared" si="1"/>
        <v>2082</v>
      </c>
      <c r="BM5" s="125">
        <f t="shared" si="1"/>
        <v>2083</v>
      </c>
      <c r="BN5" s="125">
        <f t="shared" si="1"/>
        <v>2084</v>
      </c>
      <c r="BO5" s="125">
        <f t="shared" si="1"/>
        <v>2085</v>
      </c>
      <c r="BP5" s="125">
        <f t="shared" si="1"/>
        <v>2086</v>
      </c>
      <c r="BQ5" s="125">
        <f t="shared" si="1"/>
        <v>2087</v>
      </c>
    </row>
    <row r="6" spans="1:69">
      <c r="B6" s="12" t="s">
        <v>499</v>
      </c>
      <c r="C6" s="12">
        <f>SUM(E6:BQ6)</f>
        <v>3050000</v>
      </c>
      <c r="D6" s="105"/>
      <c r="E6" s="105">
        <f>-'Plan CFs'!L16</f>
        <v>0</v>
      </c>
      <c r="F6" s="105">
        <f>-'Plan CFs'!M16</f>
        <v>0</v>
      </c>
      <c r="G6" s="105">
        <f>-'Plan CFs'!N16</f>
        <v>0</v>
      </c>
      <c r="H6" s="105">
        <f>-'Plan CFs'!O16</f>
        <v>1100000</v>
      </c>
      <c r="I6" s="105">
        <f>-'Plan CFs'!P16</f>
        <v>0</v>
      </c>
      <c r="J6" s="105">
        <f>-'Plan CFs'!Q16</f>
        <v>0</v>
      </c>
      <c r="K6" s="105">
        <f>-'Plan CFs'!R16</f>
        <v>0</v>
      </c>
      <c r="L6" s="105">
        <f>-'Plan CFs'!S16</f>
        <v>0</v>
      </c>
      <c r="M6" s="105">
        <f>-'Plan CFs'!T16</f>
        <v>0</v>
      </c>
      <c r="N6" s="105">
        <f>-'Plan CFs'!U16</f>
        <v>0</v>
      </c>
      <c r="O6" s="105">
        <f>-'Plan CFs'!V16</f>
        <v>0</v>
      </c>
      <c r="P6" s="105">
        <f>-'Plan CFs'!W16</f>
        <v>0</v>
      </c>
      <c r="Q6" s="105">
        <f>-'Plan CFs'!X16</f>
        <v>0</v>
      </c>
      <c r="R6" s="105">
        <f>-'Plan CFs'!Y16</f>
        <v>0</v>
      </c>
      <c r="S6" s="105">
        <f>-'Plan CFs'!Z16</f>
        <v>0</v>
      </c>
      <c r="T6" s="105">
        <f>-'Plan CFs'!AA16</f>
        <v>0</v>
      </c>
      <c r="U6" s="105">
        <f>-'Plan CFs'!AB16</f>
        <v>0</v>
      </c>
      <c r="V6" s="105">
        <f>-'Plan CFs'!AC16</f>
        <v>100000</v>
      </c>
      <c r="W6" s="105">
        <f>-'Plan CFs'!AD16</f>
        <v>100000</v>
      </c>
      <c r="X6" s="105">
        <f>-'Plan CFs'!AE16</f>
        <v>500000</v>
      </c>
      <c r="Y6" s="105">
        <f>-'Plan CFs'!AF16</f>
        <v>0</v>
      </c>
      <c r="Z6" s="105">
        <f>-'Plan CFs'!AG16</f>
        <v>0</v>
      </c>
      <c r="AA6" s="105">
        <f>-'Plan CFs'!AH16</f>
        <v>0</v>
      </c>
      <c r="AB6" s="105">
        <f>-'Plan CFs'!AI16</f>
        <v>0</v>
      </c>
      <c r="AC6" s="105">
        <f>-'Plan CFs'!AJ16</f>
        <v>0</v>
      </c>
      <c r="AD6" s="105">
        <f>-'Plan CFs'!AK16</f>
        <v>0</v>
      </c>
      <c r="AE6" s="105">
        <f>-'Plan CFs'!AL16</f>
        <v>0</v>
      </c>
      <c r="AF6" s="105">
        <f>-'Plan CFs'!AM16</f>
        <v>0</v>
      </c>
      <c r="AG6" s="105">
        <f>-'Plan CFs'!AN16</f>
        <v>0</v>
      </c>
      <c r="AH6" s="105">
        <f>-'Plan CFs'!AO16</f>
        <v>0</v>
      </c>
      <c r="AI6" s="105">
        <f>-'Plan CFs'!AP16</f>
        <v>0</v>
      </c>
      <c r="AJ6" s="105">
        <f>-'Plan CFs'!AQ16</f>
        <v>0</v>
      </c>
      <c r="AK6" s="105">
        <f>-'Plan CFs'!AR16</f>
        <v>0</v>
      </c>
      <c r="AL6" s="105">
        <f>-'Plan CFs'!AS16</f>
        <v>0</v>
      </c>
      <c r="AM6" s="105">
        <f>-'Plan CFs'!AT16</f>
        <v>0</v>
      </c>
      <c r="AN6" s="105">
        <f>-'Plan CFs'!AU16</f>
        <v>0</v>
      </c>
      <c r="AO6" s="105">
        <f>-'Plan CFs'!AV16</f>
        <v>0</v>
      </c>
      <c r="AP6" s="105">
        <f>-'Plan CFs'!AW16</f>
        <v>250000</v>
      </c>
      <c r="AQ6" s="105">
        <f>-'Plan CFs'!AX16</f>
        <v>100000</v>
      </c>
      <c r="AR6" s="105">
        <f>-'Plan CFs'!AY16</f>
        <v>0</v>
      </c>
      <c r="AS6" s="105">
        <f>-'Plan CFs'!AZ16</f>
        <v>0</v>
      </c>
      <c r="AT6" s="105">
        <f>-'Plan CFs'!BA16</f>
        <v>0</v>
      </c>
      <c r="AU6" s="105">
        <f>-'Plan CFs'!BB16</f>
        <v>0</v>
      </c>
      <c r="AV6" s="105">
        <f>-'Plan CFs'!BC16</f>
        <v>0</v>
      </c>
      <c r="AW6" s="105">
        <f>-'Plan CFs'!BD16</f>
        <v>0</v>
      </c>
      <c r="AX6" s="105">
        <f>-'Plan CFs'!BE16</f>
        <v>0</v>
      </c>
      <c r="AY6" s="105">
        <f>-'Plan CFs'!BF16</f>
        <v>100000</v>
      </c>
      <c r="AZ6" s="105">
        <f>-'Plan CFs'!BG16</f>
        <v>0</v>
      </c>
      <c r="BA6" s="105">
        <f>-'Plan CFs'!BH16</f>
        <v>0</v>
      </c>
      <c r="BB6" s="105">
        <f>-'Plan CFs'!BI16</f>
        <v>0</v>
      </c>
      <c r="BC6" s="105">
        <f>-'Plan CFs'!BJ16</f>
        <v>0</v>
      </c>
      <c r="BD6" s="105">
        <f>-'Plan CFs'!BK16</f>
        <v>0</v>
      </c>
      <c r="BE6" s="105">
        <f>-'Plan CFs'!BL16</f>
        <v>0</v>
      </c>
      <c r="BF6" s="105">
        <f>-'Plan CFs'!BM16</f>
        <v>0</v>
      </c>
      <c r="BG6" s="105">
        <f>-'Plan CFs'!BN16</f>
        <v>0</v>
      </c>
      <c r="BH6" s="105">
        <f>-'Plan CFs'!BO16</f>
        <v>0</v>
      </c>
      <c r="BI6" s="105">
        <f>-'Plan CFs'!BP16</f>
        <v>0</v>
      </c>
      <c r="BJ6" s="105">
        <f>-'Plan CFs'!BQ16</f>
        <v>0</v>
      </c>
      <c r="BK6" s="105">
        <f>-'Plan CFs'!BR16</f>
        <v>0</v>
      </c>
      <c r="BL6" s="105">
        <f>-'Plan CFs'!BS16</f>
        <v>100000</v>
      </c>
      <c r="BM6" s="105">
        <f>-'Plan CFs'!BT16</f>
        <v>0</v>
      </c>
      <c r="BN6" s="105">
        <f>-'Plan CFs'!BU16</f>
        <v>0</v>
      </c>
      <c r="BO6" s="105">
        <f>-'Plan CFs'!BV16</f>
        <v>700000</v>
      </c>
      <c r="BP6" s="105">
        <f>-'Plan CFs'!BW16</f>
        <v>0</v>
      </c>
      <c r="BQ6" s="105">
        <f>-'Plan CFs'!BX16</f>
        <v>0</v>
      </c>
    </row>
    <row r="7" spans="1:69">
      <c r="B7" s="326" t="s">
        <v>533</v>
      </c>
      <c r="C7" s="12"/>
      <c r="D7" s="105"/>
      <c r="E7" s="338">
        <f>Assets!J35</f>
        <v>5.4399999999999997E-2</v>
      </c>
      <c r="F7" s="338">
        <f>Assets!K35</f>
        <v>5.04E-2</v>
      </c>
      <c r="G7" s="338">
        <f>Assets!L35</f>
        <v>4.9166666666666664E-2</v>
      </c>
      <c r="H7" s="338">
        <f>Assets!M35</f>
        <v>4.7933333333333335E-2</v>
      </c>
      <c r="I7" s="338">
        <f>Assets!N35</f>
        <v>4.6699999999999998E-2</v>
      </c>
      <c r="J7" s="338">
        <f>Assets!O35</f>
        <v>4.6759999999999996E-2</v>
      </c>
      <c r="K7" s="338">
        <f>Assets!P35</f>
        <v>4.6820000000000001E-2</v>
      </c>
      <c r="L7" s="338">
        <f>Assets!Q35</f>
        <v>4.6879999999999998E-2</v>
      </c>
      <c r="M7" s="338">
        <f>Assets!R35</f>
        <v>4.6940000000000003E-2</v>
      </c>
      <c r="N7" s="338">
        <f>Assets!S35</f>
        <v>4.7E-2</v>
      </c>
      <c r="O7" s="338">
        <f>Assets!T35</f>
        <v>4.7259999999999996E-2</v>
      </c>
      <c r="P7" s="338">
        <f>Assets!U35</f>
        <v>4.752E-2</v>
      </c>
      <c r="Q7" s="338">
        <f>Assets!V35</f>
        <v>4.7780000000000003E-2</v>
      </c>
      <c r="R7" s="338">
        <f>Assets!W35</f>
        <v>4.8039999999999999E-2</v>
      </c>
      <c r="S7" s="338">
        <f>Assets!X35</f>
        <v>4.8299999999999996E-2</v>
      </c>
      <c r="T7" s="338">
        <f>Assets!Y35</f>
        <v>4.8559999999999999E-2</v>
      </c>
      <c r="U7" s="338">
        <f>Assets!Z35</f>
        <v>4.8820000000000002E-2</v>
      </c>
      <c r="V7" s="338">
        <f>Assets!AA35</f>
        <v>4.9079999999999999E-2</v>
      </c>
      <c r="W7" s="338">
        <f>Assets!AB35</f>
        <v>4.9339999999999995E-2</v>
      </c>
      <c r="X7" s="338">
        <f>Assets!AC35</f>
        <v>4.9599999999999998E-2</v>
      </c>
      <c r="Y7" s="338">
        <f>Assets!AD35</f>
        <v>4.947E-2</v>
      </c>
      <c r="Z7" s="338">
        <f>Assets!AE35</f>
        <v>4.9339999999999995E-2</v>
      </c>
      <c r="AA7" s="338">
        <f>Assets!AF35</f>
        <v>4.9209999999999997E-2</v>
      </c>
      <c r="AB7" s="338">
        <f>Assets!AG35</f>
        <v>4.9079999999999999E-2</v>
      </c>
      <c r="AC7" s="338">
        <f>Assets!AH35</f>
        <v>4.8949999999999994E-2</v>
      </c>
      <c r="AD7" s="338">
        <f>Assets!AI35</f>
        <v>4.8819999999999995E-2</v>
      </c>
      <c r="AE7" s="338">
        <f>Assets!AJ35</f>
        <v>4.8689999999999997E-2</v>
      </c>
      <c r="AF7" s="338">
        <f>Assets!AK35</f>
        <v>4.8559999999999999E-2</v>
      </c>
      <c r="AG7" s="338">
        <f>Assets!AL35</f>
        <v>4.8429999999999994E-2</v>
      </c>
      <c r="AH7" s="338">
        <f>Assets!AM35</f>
        <v>4.8299999999999996E-2</v>
      </c>
      <c r="AI7" s="338">
        <f>Assets!AN35</f>
        <v>4.8324285714285709E-2</v>
      </c>
      <c r="AJ7" s="338">
        <f>Assets!AO35</f>
        <v>4.8348571428571421E-2</v>
      </c>
      <c r="AK7" s="338">
        <f>Assets!AP35</f>
        <v>4.8372857142857141E-2</v>
      </c>
      <c r="AL7" s="338">
        <f>Assets!AQ35</f>
        <v>4.8397142857142854E-2</v>
      </c>
      <c r="AM7" s="338">
        <f>Assets!AR35</f>
        <v>4.8421428571428567E-2</v>
      </c>
      <c r="AN7" s="338">
        <f>Assets!AS35</f>
        <v>4.8445714285714279E-2</v>
      </c>
      <c r="AO7" s="338">
        <f>Assets!AT35</f>
        <v>4.8469999999999999E-2</v>
      </c>
      <c r="AP7" s="338">
        <f>Assets!AU35</f>
        <v>4.8494285714285712E-2</v>
      </c>
      <c r="AQ7" s="338">
        <f>Assets!AV35</f>
        <v>4.8518571428571425E-2</v>
      </c>
      <c r="AR7" s="338">
        <f>Assets!AW35</f>
        <v>4.8542857142857138E-2</v>
      </c>
      <c r="AS7" s="338">
        <f>Assets!AX35</f>
        <v>4.856714285714285E-2</v>
      </c>
      <c r="AT7" s="338">
        <f>Assets!AY35</f>
        <v>4.859142857142857E-2</v>
      </c>
      <c r="AU7" s="338">
        <f>Assets!AZ35</f>
        <v>4.8615714285714283E-2</v>
      </c>
      <c r="AV7" s="338">
        <f>Assets!BA35</f>
        <v>4.8639999999999996E-2</v>
      </c>
      <c r="AW7" s="338">
        <f>Assets!BB35</f>
        <v>4.8664285714285709E-2</v>
      </c>
      <c r="AX7" s="338">
        <f>Assets!BC35</f>
        <v>4.8688571428571421E-2</v>
      </c>
      <c r="AY7" s="338">
        <f>Assets!BD35</f>
        <v>4.8712857142857141E-2</v>
      </c>
      <c r="AZ7" s="338">
        <f>Assets!BE35</f>
        <v>4.8737142857142854E-2</v>
      </c>
      <c r="BA7" s="338">
        <f>Assets!BF35</f>
        <v>4.8761428571428567E-2</v>
      </c>
      <c r="BB7" s="338">
        <f>Assets!BG35</f>
        <v>4.8785714285714279E-2</v>
      </c>
      <c r="BC7" s="338">
        <f>Assets!BH35</f>
        <v>4.8809999999999992E-2</v>
      </c>
      <c r="BD7" s="338">
        <f>Assets!BI35</f>
        <v>4.8834285714285712E-2</v>
      </c>
      <c r="BE7" s="338">
        <f>Assets!BJ35</f>
        <v>4.8858571428571425E-2</v>
      </c>
      <c r="BF7" s="338">
        <f>Assets!BK35</f>
        <v>4.8882857142857138E-2</v>
      </c>
      <c r="BG7" s="338">
        <f>Assets!BL35</f>
        <v>4.890714285714285E-2</v>
      </c>
      <c r="BH7" s="338">
        <f>Assets!BM35</f>
        <v>4.893142857142857E-2</v>
      </c>
      <c r="BI7" s="338">
        <f>Assets!BN35</f>
        <v>4.8955714285714283E-2</v>
      </c>
      <c r="BJ7" s="338">
        <f>Assets!BO35</f>
        <v>4.8979999999999996E-2</v>
      </c>
      <c r="BK7" s="338">
        <f>Assets!BP35</f>
        <v>4.9004285714285709E-2</v>
      </c>
      <c r="BL7" s="338">
        <f>Assets!BQ35</f>
        <v>4.9028571428571421E-2</v>
      </c>
      <c r="BM7" s="338">
        <f>Assets!BR35</f>
        <v>4.9052857142857141E-2</v>
      </c>
      <c r="BN7" s="338">
        <f>Assets!BS35</f>
        <v>4.9077142857142854E-2</v>
      </c>
      <c r="BO7" s="338">
        <f>Assets!BT35</f>
        <v>4.9101428571428567E-2</v>
      </c>
      <c r="BP7" s="338">
        <f>Assets!BU35</f>
        <v>4.912571428571428E-2</v>
      </c>
      <c r="BQ7" s="338">
        <f>Assets!BV35</f>
        <v>4.9149999999999999E-2</v>
      </c>
    </row>
    <row r="8" spans="1:69">
      <c r="B8" s="12" t="s">
        <v>500</v>
      </c>
      <c r="C8" s="12">
        <f>SUM(E8:BQ8)</f>
        <v>1221780.0936127508</v>
      </c>
      <c r="D8" s="105"/>
      <c r="E8" s="105">
        <f xml:space="preserve"> E6 / (1 + $E$7) ^ E$4</f>
        <v>0</v>
      </c>
      <c r="F8" s="105">
        <f t="shared" ref="F8:BQ8" si="2" xml:space="preserve"> F6 / (1 + $E$7) ^ F$4</f>
        <v>0</v>
      </c>
      <c r="G8" s="105">
        <f t="shared" si="2"/>
        <v>0</v>
      </c>
      <c r="H8" s="105">
        <f xml:space="preserve"> H6 / (1 + $E$7) ^ H$4</f>
        <v>889961.24757001444</v>
      </c>
      <c r="I8" s="105">
        <f t="shared" si="2"/>
        <v>0</v>
      </c>
      <c r="J8" s="105">
        <f t="shared" si="2"/>
        <v>0</v>
      </c>
      <c r="K8" s="105">
        <f t="shared" si="2"/>
        <v>0</v>
      </c>
      <c r="L8" s="105">
        <f t="shared" si="2"/>
        <v>0</v>
      </c>
      <c r="M8" s="105">
        <f t="shared" si="2"/>
        <v>0</v>
      </c>
      <c r="N8" s="105">
        <f t="shared" si="2"/>
        <v>0</v>
      </c>
      <c r="O8" s="105">
        <f t="shared" si="2"/>
        <v>0</v>
      </c>
      <c r="P8" s="105">
        <f t="shared" si="2"/>
        <v>0</v>
      </c>
      <c r="Q8" s="105">
        <f t="shared" si="2"/>
        <v>0</v>
      </c>
      <c r="R8" s="105">
        <f t="shared" si="2"/>
        <v>0</v>
      </c>
      <c r="S8" s="105">
        <f t="shared" si="2"/>
        <v>0</v>
      </c>
      <c r="T8" s="105">
        <f t="shared" si="2"/>
        <v>0</v>
      </c>
      <c r="U8" s="105">
        <f t="shared" si="2"/>
        <v>0</v>
      </c>
      <c r="V8" s="105">
        <f t="shared" si="2"/>
        <v>38539.213684570801</v>
      </c>
      <c r="W8" s="105">
        <f t="shared" si="2"/>
        <v>36550.847576413893</v>
      </c>
      <c r="X8" s="105">
        <f t="shared" si="2"/>
        <v>173325.3394177442</v>
      </c>
      <c r="Y8" s="105">
        <f t="shared" si="2"/>
        <v>0</v>
      </c>
      <c r="Z8" s="105">
        <f t="shared" si="2"/>
        <v>0</v>
      </c>
      <c r="AA8" s="105">
        <f t="shared" si="2"/>
        <v>0</v>
      </c>
      <c r="AB8" s="105">
        <f t="shared" si="2"/>
        <v>0</v>
      </c>
      <c r="AC8" s="105">
        <f t="shared" si="2"/>
        <v>0</v>
      </c>
      <c r="AD8" s="105">
        <f t="shared" si="2"/>
        <v>0</v>
      </c>
      <c r="AE8" s="105">
        <f t="shared" si="2"/>
        <v>0</v>
      </c>
      <c r="AF8" s="105">
        <f t="shared" si="2"/>
        <v>0</v>
      </c>
      <c r="AG8" s="105">
        <f t="shared" si="2"/>
        <v>0</v>
      </c>
      <c r="AH8" s="105">
        <f t="shared" si="2"/>
        <v>0</v>
      </c>
      <c r="AI8" s="105">
        <f t="shared" si="2"/>
        <v>0</v>
      </c>
      <c r="AJ8" s="105">
        <f t="shared" si="2"/>
        <v>0</v>
      </c>
      <c r="AK8" s="105">
        <f t="shared" si="2"/>
        <v>0</v>
      </c>
      <c r="AL8" s="105">
        <f t="shared" si="2"/>
        <v>0</v>
      </c>
      <c r="AM8" s="105">
        <f t="shared" si="2"/>
        <v>0</v>
      </c>
      <c r="AN8" s="105">
        <f t="shared" si="2"/>
        <v>0</v>
      </c>
      <c r="AO8" s="105">
        <f t="shared" si="2"/>
        <v>0</v>
      </c>
      <c r="AP8" s="105">
        <f t="shared" si="2"/>
        <v>33399.111463856032</v>
      </c>
      <c r="AQ8" s="105">
        <f t="shared" si="2"/>
        <v>12670.37612437634</v>
      </c>
      <c r="AR8" s="105">
        <f t="shared" si="2"/>
        <v>0</v>
      </c>
      <c r="AS8" s="105">
        <f t="shared" si="2"/>
        <v>0</v>
      </c>
      <c r="AT8" s="105">
        <f t="shared" si="2"/>
        <v>0</v>
      </c>
      <c r="AU8" s="105">
        <f t="shared" si="2"/>
        <v>0</v>
      </c>
      <c r="AV8" s="105">
        <f t="shared" si="2"/>
        <v>0</v>
      </c>
      <c r="AW8" s="105">
        <f t="shared" si="2"/>
        <v>0</v>
      </c>
      <c r="AX8" s="105">
        <f t="shared" si="2"/>
        <v>0</v>
      </c>
      <c r="AY8" s="105">
        <f t="shared" si="2"/>
        <v>8293.6619447511985</v>
      </c>
      <c r="AZ8" s="105">
        <f t="shared" si="2"/>
        <v>0</v>
      </c>
      <c r="BA8" s="105">
        <f t="shared" si="2"/>
        <v>0</v>
      </c>
      <c r="BB8" s="105">
        <f t="shared" si="2"/>
        <v>0</v>
      </c>
      <c r="BC8" s="105">
        <f t="shared" si="2"/>
        <v>0</v>
      </c>
      <c r="BD8" s="105">
        <f t="shared" si="2"/>
        <v>0</v>
      </c>
      <c r="BE8" s="105">
        <f t="shared" si="2"/>
        <v>0</v>
      </c>
      <c r="BF8" s="105">
        <f t="shared" si="2"/>
        <v>0</v>
      </c>
      <c r="BG8" s="105">
        <f t="shared" si="2"/>
        <v>0</v>
      </c>
      <c r="BH8" s="105">
        <f t="shared" si="2"/>
        <v>0</v>
      </c>
      <c r="BI8" s="105">
        <f t="shared" si="2"/>
        <v>0</v>
      </c>
      <c r="BJ8" s="105">
        <f t="shared" si="2"/>
        <v>0</v>
      </c>
      <c r="BK8" s="105">
        <f t="shared" si="2"/>
        <v>0</v>
      </c>
      <c r="BL8" s="105">
        <f t="shared" si="2"/>
        <v>4165.5865749393233</v>
      </c>
      <c r="BM8" s="105">
        <f t="shared" si="2"/>
        <v>0</v>
      </c>
      <c r="BN8" s="105">
        <f t="shared" si="2"/>
        <v>0</v>
      </c>
      <c r="BO8" s="105">
        <f t="shared" si="2"/>
        <v>24874.709256084621</v>
      </c>
      <c r="BP8" s="105">
        <f t="shared" si="2"/>
        <v>0</v>
      </c>
      <c r="BQ8" s="105">
        <f t="shared" si="2"/>
        <v>0</v>
      </c>
    </row>
    <row r="9" spans="1:69">
      <c r="B9" s="12"/>
      <c r="C9" s="12"/>
      <c r="D9" s="231"/>
      <c r="E9" s="105"/>
      <c r="F9" s="105"/>
      <c r="G9" s="105"/>
      <c r="H9" s="105"/>
      <c r="I9" s="105"/>
      <c r="J9" s="105"/>
      <c r="K9" s="105"/>
      <c r="L9" s="105"/>
      <c r="M9" s="105"/>
      <c r="N9" s="105"/>
      <c r="O9" s="105"/>
      <c r="P9" s="105"/>
      <c r="Q9" s="105"/>
      <c r="R9" s="105"/>
      <c r="S9" s="105"/>
      <c r="T9" s="105"/>
      <c r="U9" s="105"/>
      <c r="V9" s="105"/>
      <c r="W9" s="105"/>
      <c r="X9" s="105"/>
      <c r="Y9" s="105"/>
      <c r="Z9" s="105"/>
      <c r="AA9" s="105"/>
      <c r="AB9" s="105"/>
      <c r="AC9" s="105"/>
      <c r="AD9" s="105"/>
      <c r="AE9" s="105"/>
      <c r="AF9" s="105"/>
      <c r="AG9" s="105"/>
      <c r="AH9" s="105"/>
      <c r="AI9" s="105"/>
      <c r="AJ9" s="105"/>
      <c r="AK9" s="105"/>
      <c r="AL9" s="105"/>
      <c r="AM9" s="105"/>
      <c r="AN9" s="105"/>
      <c r="AO9" s="105"/>
      <c r="AP9" s="105"/>
      <c r="AQ9" s="105"/>
      <c r="AR9" s="105"/>
      <c r="AS9" s="105"/>
      <c r="AT9" s="105"/>
      <c r="AU9" s="105"/>
      <c r="AV9" s="105"/>
      <c r="AW9" s="105"/>
      <c r="AX9" s="105"/>
      <c r="AY9" s="105"/>
      <c r="AZ9" s="105"/>
      <c r="BA9" s="105"/>
      <c r="BB9" s="105"/>
      <c r="BC9" s="105"/>
      <c r="BD9" s="105"/>
      <c r="BE9" s="105"/>
      <c r="BF9" s="105"/>
      <c r="BG9" s="105"/>
      <c r="BH9" s="105"/>
      <c r="BI9" s="105"/>
      <c r="BJ9" s="105"/>
      <c r="BK9" s="105"/>
      <c r="BL9" s="105"/>
      <c r="BM9" s="105"/>
      <c r="BN9" s="105"/>
      <c r="BO9" s="105"/>
      <c r="BP9" s="105"/>
      <c r="BQ9" s="105"/>
    </row>
    <row r="10" spans="1:69" ht="15">
      <c r="B10" s="12"/>
      <c r="C10" s="12"/>
      <c r="D10" s="232"/>
      <c r="E10" s="105"/>
      <c r="F10" s="105"/>
      <c r="G10" s="105"/>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c r="AI10" s="105"/>
      <c r="AJ10" s="105"/>
      <c r="AK10" s="105"/>
      <c r="AL10" s="105"/>
      <c r="AM10" s="105"/>
      <c r="AN10" s="105"/>
      <c r="AO10" s="105"/>
      <c r="AP10" s="105"/>
      <c r="AQ10" s="105"/>
      <c r="AR10" s="105"/>
      <c r="AS10" s="105"/>
      <c r="AT10" s="105"/>
      <c r="AU10" s="105"/>
      <c r="AV10" s="105"/>
      <c r="AW10" s="105"/>
      <c r="AX10" s="105"/>
      <c r="AY10" s="105"/>
      <c r="AZ10" s="105"/>
      <c r="BA10" s="105"/>
      <c r="BB10" s="105"/>
      <c r="BC10" s="105"/>
      <c r="BD10" s="105"/>
      <c r="BE10" s="105"/>
      <c r="BF10" s="105"/>
      <c r="BG10" s="105"/>
      <c r="BH10" s="105"/>
      <c r="BI10" s="105"/>
      <c r="BJ10" s="105"/>
      <c r="BK10" s="105"/>
      <c r="BL10" s="105"/>
      <c r="BM10" s="105"/>
      <c r="BN10" s="105"/>
      <c r="BO10" s="105"/>
      <c r="BP10" s="105"/>
      <c r="BQ10" s="105"/>
    </row>
    <row r="11" spans="1:69">
      <c r="B11" s="12" t="s">
        <v>507</v>
      </c>
      <c r="C11" s="329">
        <v>1E-4</v>
      </c>
      <c r="D11" s="231"/>
      <c r="E11" s="105"/>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row>
    <row r="12" spans="1:69">
      <c r="B12" s="12" t="s">
        <v>509</v>
      </c>
      <c r="C12" s="12">
        <v>1222956.1111831984</v>
      </c>
      <c r="D12" s="231"/>
      <c r="E12" s="105"/>
      <c r="F12" s="105"/>
      <c r="G12" s="105"/>
      <c r="H12" s="105"/>
      <c r="I12" s="105"/>
      <c r="J12" s="105"/>
      <c r="K12" s="105"/>
      <c r="L12" s="105"/>
      <c r="M12" s="105"/>
      <c r="N12" s="105"/>
      <c r="O12" s="105"/>
      <c r="P12" s="105"/>
      <c r="Q12" s="105"/>
      <c r="R12" s="105"/>
      <c r="S12" s="105"/>
      <c r="T12" s="105"/>
      <c r="U12" s="105"/>
      <c r="V12" s="105"/>
      <c r="W12" s="105"/>
      <c r="X12" s="105"/>
      <c r="Y12" s="105"/>
      <c r="Z12" s="105"/>
      <c r="AA12" s="105"/>
      <c r="AB12" s="105"/>
      <c r="AC12" s="105"/>
      <c r="AD12" s="105"/>
      <c r="AE12" s="105"/>
      <c r="AF12" s="105"/>
      <c r="AG12" s="105"/>
      <c r="AH12" s="105"/>
      <c r="AI12" s="105"/>
      <c r="AJ12" s="105"/>
      <c r="AK12" s="105"/>
      <c r="AL12" s="105"/>
      <c r="AM12" s="105"/>
      <c r="AN12" s="105"/>
      <c r="AO12" s="105"/>
      <c r="AP12" s="105"/>
      <c r="AQ12" s="105"/>
      <c r="AR12" s="105"/>
      <c r="AS12" s="105"/>
      <c r="AT12" s="105"/>
      <c r="AU12" s="105"/>
      <c r="AV12" s="105"/>
      <c r="AW12" s="105"/>
      <c r="AX12" s="105"/>
      <c r="AY12" s="105"/>
      <c r="AZ12" s="105"/>
      <c r="BA12" s="105"/>
      <c r="BB12" s="105"/>
      <c r="BC12" s="105"/>
      <c r="BD12" s="105"/>
      <c r="BE12" s="105"/>
      <c r="BF12" s="105"/>
      <c r="BG12" s="105"/>
      <c r="BH12" s="105"/>
      <c r="BI12" s="105"/>
      <c r="BJ12" s="105"/>
      <c r="BK12" s="105"/>
      <c r="BL12" s="105"/>
      <c r="BM12" s="105"/>
      <c r="BN12" s="105"/>
      <c r="BO12" s="105"/>
      <c r="BP12" s="105"/>
      <c r="BQ12" s="105"/>
    </row>
    <row r="13" spans="1:69">
      <c r="B13" s="12" t="s">
        <v>508</v>
      </c>
      <c r="C13" s="12">
        <v>1220606.9649837685</v>
      </c>
      <c r="D13" s="231"/>
      <c r="E13" s="105"/>
      <c r="F13" s="105"/>
      <c r="G13" s="105"/>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c r="AI13" s="105"/>
      <c r="AJ13" s="105"/>
      <c r="AK13" s="105"/>
      <c r="AL13" s="105"/>
      <c r="AM13" s="105"/>
      <c r="AN13" s="105"/>
      <c r="AO13" s="105"/>
      <c r="AP13" s="105"/>
      <c r="AQ13" s="105"/>
      <c r="AR13" s="105"/>
      <c r="AS13" s="105"/>
      <c r="AT13" s="105"/>
      <c r="AU13" s="105"/>
      <c r="AV13" s="105"/>
      <c r="AW13" s="105"/>
      <c r="AX13" s="105"/>
      <c r="AY13" s="105"/>
      <c r="AZ13" s="105"/>
      <c r="BA13" s="105"/>
      <c r="BB13" s="105"/>
      <c r="BC13" s="105"/>
      <c r="BD13" s="105"/>
      <c r="BE13" s="105"/>
      <c r="BF13" s="105"/>
      <c r="BG13" s="105"/>
      <c r="BH13" s="105"/>
      <c r="BI13" s="105"/>
      <c r="BJ13" s="105"/>
      <c r="BK13" s="105"/>
      <c r="BL13" s="105"/>
      <c r="BM13" s="105"/>
      <c r="BN13" s="105"/>
      <c r="BO13" s="105"/>
      <c r="BP13" s="105"/>
      <c r="BQ13" s="105"/>
    </row>
    <row r="14" spans="1:69" ht="15">
      <c r="B14" s="104" t="s">
        <v>510</v>
      </c>
      <c r="C14" s="339">
        <f>(C12-C13)/ (2 * $C$11 * npv_liab)</f>
        <v>9.613621189732882</v>
      </c>
      <c r="D14" s="231"/>
      <c r="E14" s="105"/>
      <c r="F14" s="331"/>
      <c r="G14" s="105"/>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c r="AI14" s="105"/>
      <c r="AJ14" s="105"/>
      <c r="AK14" s="105"/>
      <c r="AL14" s="105"/>
      <c r="AM14" s="105"/>
      <c r="AN14" s="105"/>
      <c r="AO14" s="105"/>
      <c r="AP14" s="105"/>
      <c r="AQ14" s="105"/>
      <c r="AR14" s="105"/>
      <c r="AS14" s="105"/>
      <c r="AT14" s="105"/>
      <c r="AU14" s="105"/>
      <c r="AV14" s="105"/>
      <c r="AW14" s="105"/>
      <c r="AX14" s="105"/>
      <c r="AY14" s="105"/>
      <c r="AZ14" s="105"/>
      <c r="BA14" s="105"/>
      <c r="BB14" s="105"/>
      <c r="BC14" s="105"/>
      <c r="BD14" s="105"/>
      <c r="BE14" s="105"/>
      <c r="BF14" s="105"/>
      <c r="BG14" s="105"/>
      <c r="BH14" s="105"/>
      <c r="BI14" s="105"/>
      <c r="BJ14" s="105"/>
      <c r="BK14" s="105"/>
      <c r="BL14" s="105"/>
      <c r="BM14" s="105"/>
      <c r="BN14" s="105"/>
      <c r="BO14" s="105"/>
      <c r="BP14" s="105"/>
      <c r="BQ14" s="105"/>
    </row>
    <row r="15" spans="1:69" ht="15">
      <c r="B15" s="104" t="s">
        <v>511</v>
      </c>
      <c r="C15" s="340">
        <f>(pv_down + pv_up - (2 * npv_liab )) / (change^2 * npv_liab)</f>
        <v>236.45347313433962</v>
      </c>
      <c r="D15" s="231"/>
      <c r="E15" s="105"/>
      <c r="F15" s="104"/>
      <c r="G15" s="105"/>
      <c r="H15" s="105"/>
      <c r="I15" s="105"/>
      <c r="J15" s="105"/>
      <c r="K15" s="105"/>
      <c r="L15" s="105"/>
      <c r="M15" s="105"/>
      <c r="N15" s="105"/>
      <c r="O15" s="105"/>
      <c r="P15" s="105"/>
      <c r="Q15" s="105"/>
      <c r="R15" s="105"/>
      <c r="S15" s="105"/>
      <c r="T15" s="105"/>
      <c r="U15" s="105"/>
      <c r="V15" s="105"/>
      <c r="W15" s="105"/>
      <c r="X15" s="105"/>
      <c r="Y15" s="105"/>
      <c r="Z15" s="105"/>
      <c r="AA15" s="105"/>
      <c r="AB15" s="105"/>
      <c r="AC15" s="105"/>
      <c r="AD15" s="105"/>
      <c r="AE15" s="105"/>
      <c r="AF15" s="105"/>
      <c r="AG15" s="105"/>
      <c r="AH15" s="105"/>
      <c r="AI15" s="105"/>
      <c r="AJ15" s="105"/>
      <c r="AK15" s="105"/>
      <c r="AL15" s="105"/>
      <c r="AM15" s="105"/>
      <c r="AN15" s="105"/>
      <c r="AO15" s="105"/>
      <c r="AP15" s="105"/>
      <c r="AQ15" s="105"/>
      <c r="AR15" s="105"/>
      <c r="AS15" s="105"/>
      <c r="AT15" s="105"/>
      <c r="AU15" s="105"/>
      <c r="AV15" s="105"/>
      <c r="AW15" s="105"/>
      <c r="AX15" s="105"/>
      <c r="AY15" s="105"/>
      <c r="AZ15" s="105"/>
      <c r="BA15" s="105"/>
      <c r="BB15" s="105"/>
      <c r="BC15" s="105"/>
      <c r="BD15" s="105"/>
      <c r="BE15" s="105"/>
      <c r="BF15" s="105"/>
      <c r="BG15" s="105"/>
      <c r="BH15" s="105"/>
      <c r="BI15" s="105"/>
      <c r="BJ15" s="105"/>
      <c r="BK15" s="105"/>
      <c r="BL15" s="105"/>
      <c r="BM15" s="105"/>
      <c r="BN15" s="105"/>
      <c r="BO15" s="105"/>
      <c r="BP15" s="105"/>
      <c r="BQ15" s="105"/>
    </row>
    <row r="16" spans="1:69">
      <c r="B16" s="12"/>
      <c r="C16" s="12"/>
      <c r="D16" s="231"/>
      <c r="E16" s="105"/>
      <c r="F16" s="105"/>
      <c r="G16" s="105"/>
      <c r="H16" s="105"/>
      <c r="I16" s="105"/>
      <c r="J16" s="105"/>
      <c r="K16" s="105"/>
      <c r="L16" s="105"/>
      <c r="M16" s="105"/>
      <c r="N16" s="105"/>
      <c r="O16" s="105"/>
      <c r="P16" s="105"/>
      <c r="Q16" s="105"/>
      <c r="R16" s="105"/>
      <c r="S16" s="105"/>
      <c r="T16" s="105"/>
      <c r="U16" s="105"/>
      <c r="V16" s="105"/>
      <c r="W16" s="105"/>
      <c r="X16" s="105"/>
      <c r="Y16" s="105"/>
      <c r="Z16" s="105"/>
      <c r="AA16" s="105"/>
      <c r="AB16" s="105"/>
      <c r="AC16" s="105"/>
      <c r="AD16" s="105"/>
      <c r="AE16" s="105"/>
      <c r="AF16" s="105"/>
      <c r="AG16" s="105"/>
      <c r="AH16" s="105"/>
      <c r="AI16" s="105"/>
      <c r="AJ16" s="105"/>
      <c r="AK16" s="105"/>
      <c r="AL16" s="105"/>
      <c r="AM16" s="105"/>
      <c r="AN16" s="105"/>
      <c r="AO16" s="105"/>
      <c r="AP16" s="105"/>
      <c r="AQ16" s="105"/>
      <c r="AR16" s="105"/>
      <c r="AS16" s="105"/>
      <c r="AT16" s="105"/>
      <c r="AU16" s="105"/>
      <c r="AV16" s="105"/>
      <c r="AW16" s="105"/>
      <c r="AX16" s="105"/>
      <c r="AY16" s="105"/>
      <c r="AZ16" s="105"/>
      <c r="BA16" s="105"/>
      <c r="BB16" s="105"/>
      <c r="BC16" s="105"/>
      <c r="BD16" s="105"/>
      <c r="BE16" s="105"/>
      <c r="BF16" s="105"/>
      <c r="BG16" s="105"/>
      <c r="BH16" s="105"/>
      <c r="BI16" s="105"/>
      <c r="BJ16" s="105"/>
      <c r="BK16" s="105"/>
      <c r="BL16" s="105"/>
      <c r="BM16" s="105"/>
      <c r="BN16" s="105"/>
      <c r="BO16" s="105"/>
      <c r="BP16" s="105"/>
      <c r="BQ16" s="105"/>
    </row>
    <row r="17" spans="2:69" ht="15">
      <c r="B17" s="12"/>
      <c r="C17" s="12"/>
      <c r="D17" s="232"/>
      <c r="E17" s="232"/>
      <c r="F17" s="327"/>
      <c r="G17" s="232"/>
      <c r="H17" s="232"/>
      <c r="I17" s="232"/>
      <c r="J17" s="232"/>
      <c r="K17" s="232"/>
      <c r="L17" s="232"/>
      <c r="M17" s="232"/>
      <c r="N17" s="232"/>
      <c r="O17" s="232"/>
      <c r="P17" s="232"/>
      <c r="Q17" s="232"/>
      <c r="R17" s="232"/>
      <c r="S17" s="232"/>
      <c r="T17" s="232"/>
      <c r="U17" s="232"/>
      <c r="V17" s="232"/>
      <c r="W17" s="232"/>
      <c r="X17" s="232"/>
      <c r="Y17" s="232"/>
      <c r="Z17" s="232"/>
      <c r="AA17" s="232"/>
      <c r="AB17" s="232"/>
      <c r="AC17" s="232"/>
      <c r="AD17" s="232"/>
      <c r="AE17" s="232"/>
      <c r="AF17" s="232"/>
      <c r="AG17" s="232"/>
      <c r="AH17" s="232"/>
      <c r="AI17" s="232"/>
      <c r="AJ17" s="232"/>
      <c r="AK17" s="232"/>
      <c r="AL17" s="232"/>
      <c r="AM17" s="232"/>
      <c r="AN17" s="232"/>
      <c r="AO17" s="232"/>
      <c r="AP17" s="232"/>
      <c r="AQ17" s="232"/>
      <c r="AR17" s="232"/>
      <c r="AS17" s="232"/>
      <c r="AT17" s="232"/>
      <c r="AU17" s="232"/>
      <c r="AV17" s="232"/>
      <c r="AW17" s="232"/>
      <c r="AX17" s="232"/>
      <c r="AY17" s="232"/>
      <c r="AZ17" s="232"/>
      <c r="BA17" s="232"/>
      <c r="BB17" s="232"/>
      <c r="BC17" s="232"/>
      <c r="BD17" s="232"/>
      <c r="BE17" s="232"/>
      <c r="BF17" s="232"/>
      <c r="BG17" s="232"/>
      <c r="BH17" s="232"/>
      <c r="BI17" s="232"/>
      <c r="BJ17" s="232"/>
      <c r="BK17" s="232"/>
      <c r="BL17" s="232"/>
      <c r="BM17" s="232"/>
      <c r="BN17" s="232"/>
      <c r="BO17" s="232"/>
      <c r="BP17" s="232"/>
      <c r="BQ17" s="232"/>
    </row>
    <row r="18" spans="2:69">
      <c r="B18" s="12"/>
      <c r="C18" s="12"/>
      <c r="D18" s="231"/>
      <c r="E18" s="231"/>
      <c r="F18" s="231"/>
      <c r="G18" s="231"/>
      <c r="H18" s="231"/>
      <c r="I18" s="231"/>
      <c r="J18" s="231"/>
      <c r="K18" s="231"/>
      <c r="L18" s="231"/>
      <c r="M18" s="231"/>
      <c r="N18" s="231"/>
      <c r="O18" s="231"/>
      <c r="P18" s="231"/>
      <c r="Q18" s="231"/>
      <c r="R18" s="231"/>
      <c r="S18" s="231"/>
      <c r="T18" s="231"/>
      <c r="U18" s="231"/>
      <c r="V18" s="231"/>
      <c r="W18" s="231"/>
      <c r="X18" s="231"/>
      <c r="Y18" s="231"/>
      <c r="Z18" s="231"/>
      <c r="AA18" s="231"/>
      <c r="AB18" s="231"/>
      <c r="AC18" s="231"/>
      <c r="AD18" s="231"/>
      <c r="AE18" s="231"/>
      <c r="AF18" s="231"/>
      <c r="AG18" s="231"/>
      <c r="AH18" s="231"/>
      <c r="AI18" s="231"/>
      <c r="AJ18" s="231"/>
      <c r="AK18" s="231"/>
      <c r="AL18" s="231"/>
      <c r="AM18" s="231"/>
      <c r="AN18" s="231"/>
      <c r="AO18" s="231"/>
      <c r="AP18" s="231"/>
      <c r="AQ18" s="231"/>
      <c r="AR18" s="231"/>
      <c r="AS18" s="231"/>
      <c r="AT18" s="231"/>
      <c r="AU18" s="231"/>
      <c r="AV18" s="231"/>
      <c r="AW18" s="231"/>
      <c r="AX18" s="231"/>
      <c r="AY18" s="231"/>
      <c r="AZ18" s="231"/>
      <c r="BA18" s="231"/>
      <c r="BB18" s="231"/>
      <c r="BC18" s="231"/>
      <c r="BD18" s="231"/>
      <c r="BE18" s="231"/>
      <c r="BF18" s="231"/>
      <c r="BG18" s="231"/>
      <c r="BH18" s="231"/>
      <c r="BI18" s="231"/>
      <c r="BJ18" s="231"/>
      <c r="BK18" s="231"/>
      <c r="BL18" s="231"/>
      <c r="BM18" s="231"/>
      <c r="BN18" s="231"/>
      <c r="BO18" s="231"/>
      <c r="BP18" s="231"/>
      <c r="BQ18" s="231"/>
    </row>
    <row r="19" spans="2:69">
      <c r="B19" s="12"/>
      <c r="C19" s="12"/>
      <c r="D19" s="231"/>
      <c r="E19" s="231"/>
      <c r="F19" s="231"/>
      <c r="G19" s="231"/>
      <c r="H19" s="231"/>
      <c r="I19" s="231"/>
      <c r="J19" s="231"/>
      <c r="K19" s="231"/>
      <c r="L19" s="231"/>
      <c r="M19" s="231"/>
      <c r="N19" s="231"/>
      <c r="O19" s="231"/>
      <c r="P19" s="231"/>
      <c r="Q19" s="231"/>
      <c r="R19" s="231"/>
      <c r="S19" s="231"/>
      <c r="T19" s="231"/>
      <c r="U19" s="231"/>
      <c r="V19" s="231"/>
      <c r="W19" s="231"/>
      <c r="X19" s="231"/>
      <c r="Y19" s="231"/>
      <c r="Z19" s="231"/>
      <c r="AA19" s="231"/>
      <c r="AB19" s="231"/>
      <c r="AC19" s="231"/>
      <c r="AD19" s="231"/>
      <c r="AE19" s="231"/>
      <c r="AF19" s="231"/>
      <c r="AG19" s="231"/>
      <c r="AH19" s="231"/>
      <c r="AI19" s="231"/>
      <c r="AJ19" s="231"/>
      <c r="AK19" s="231"/>
      <c r="AL19" s="231"/>
      <c r="AM19" s="231"/>
      <c r="AN19" s="231"/>
      <c r="AO19" s="231"/>
      <c r="AP19" s="231"/>
      <c r="AQ19" s="231"/>
      <c r="AR19" s="231"/>
      <c r="AS19" s="231"/>
      <c r="AT19" s="231"/>
      <c r="AU19" s="231"/>
      <c r="AV19" s="231"/>
      <c r="AW19" s="231"/>
      <c r="AX19" s="231"/>
      <c r="AY19" s="231"/>
      <c r="AZ19" s="231"/>
      <c r="BA19" s="231"/>
      <c r="BB19" s="231"/>
      <c r="BC19" s="231"/>
      <c r="BD19" s="231"/>
      <c r="BE19" s="231"/>
      <c r="BF19" s="231"/>
      <c r="BG19" s="231"/>
      <c r="BH19" s="231"/>
      <c r="BI19" s="231"/>
      <c r="BJ19" s="231"/>
      <c r="BK19" s="231"/>
      <c r="BL19" s="231"/>
      <c r="BM19" s="231"/>
      <c r="BN19" s="231"/>
      <c r="BO19" s="231"/>
      <c r="BP19" s="231"/>
      <c r="BQ19" s="231"/>
    </row>
    <row r="20" spans="2:69">
      <c r="B20" s="12"/>
      <c r="C20" s="12"/>
      <c r="D20" s="231"/>
      <c r="E20" s="231"/>
      <c r="F20" s="231"/>
      <c r="G20" s="231"/>
      <c r="H20" s="231"/>
      <c r="I20" s="231"/>
      <c r="J20" s="231"/>
      <c r="K20" s="231"/>
      <c r="L20" s="231"/>
      <c r="M20" s="231"/>
      <c r="N20" s="231"/>
      <c r="O20" s="231"/>
      <c r="P20" s="231"/>
      <c r="Q20" s="231"/>
      <c r="R20" s="231"/>
      <c r="S20" s="231"/>
      <c r="T20" s="231"/>
      <c r="U20" s="231"/>
      <c r="V20" s="231"/>
      <c r="W20" s="231"/>
      <c r="X20" s="231"/>
      <c r="Y20" s="231"/>
      <c r="Z20" s="231"/>
      <c r="AA20" s="231"/>
      <c r="AB20" s="231"/>
      <c r="AC20" s="231"/>
      <c r="AD20" s="231"/>
      <c r="AE20" s="231"/>
      <c r="AF20" s="231"/>
      <c r="AG20" s="231"/>
      <c r="AH20" s="231"/>
      <c r="AI20" s="231"/>
      <c r="AJ20" s="231"/>
      <c r="AK20" s="231"/>
      <c r="AL20" s="231"/>
      <c r="AM20" s="231"/>
      <c r="AN20" s="231"/>
      <c r="AO20" s="231"/>
      <c r="AP20" s="231"/>
      <c r="AQ20" s="231"/>
      <c r="AR20" s="231"/>
      <c r="AS20" s="231"/>
      <c r="AT20" s="231"/>
      <c r="AU20" s="231"/>
      <c r="AV20" s="231"/>
      <c r="AW20" s="231"/>
      <c r="AX20" s="231"/>
      <c r="AY20" s="231"/>
      <c r="AZ20" s="231"/>
      <c r="BA20" s="231"/>
      <c r="BB20" s="231"/>
      <c r="BC20" s="231"/>
      <c r="BD20" s="231"/>
      <c r="BE20" s="231"/>
      <c r="BF20" s="231"/>
      <c r="BG20" s="231"/>
      <c r="BH20" s="231"/>
      <c r="BI20" s="231"/>
      <c r="BJ20" s="231"/>
      <c r="BK20" s="231"/>
      <c r="BL20" s="231"/>
      <c r="BM20" s="231"/>
      <c r="BN20" s="231"/>
      <c r="BO20" s="231"/>
      <c r="BP20" s="231"/>
      <c r="BQ20" s="231"/>
    </row>
    <row r="21" spans="2:69">
      <c r="B21" s="12"/>
      <c r="C21" s="12"/>
      <c r="D21" s="231"/>
      <c r="E21" s="231"/>
      <c r="F21" s="231"/>
      <c r="G21" s="231"/>
      <c r="H21" s="231"/>
      <c r="I21" s="231"/>
      <c r="J21" s="231"/>
      <c r="K21" s="231"/>
      <c r="L21" s="231"/>
      <c r="M21" s="231"/>
      <c r="N21" s="231"/>
      <c r="O21" s="231"/>
      <c r="P21" s="231"/>
      <c r="Q21" s="231"/>
      <c r="R21" s="231"/>
      <c r="S21" s="231"/>
      <c r="T21" s="231"/>
      <c r="U21" s="231"/>
      <c r="V21" s="231"/>
      <c r="W21" s="231"/>
      <c r="X21" s="231"/>
      <c r="Y21" s="231"/>
      <c r="Z21" s="231"/>
      <c r="AA21" s="231"/>
      <c r="AB21" s="231"/>
      <c r="AC21" s="231"/>
      <c r="AD21" s="231"/>
      <c r="AE21" s="231"/>
      <c r="AF21" s="231"/>
      <c r="AG21" s="231"/>
      <c r="AH21" s="231"/>
      <c r="AI21" s="231"/>
      <c r="AJ21" s="231"/>
      <c r="AK21" s="231"/>
      <c r="AL21" s="231"/>
      <c r="AM21" s="231"/>
      <c r="AN21" s="231"/>
      <c r="AO21" s="231"/>
      <c r="AP21" s="231"/>
      <c r="AQ21" s="231"/>
      <c r="AR21" s="231"/>
      <c r="AS21" s="231"/>
      <c r="AT21" s="231"/>
      <c r="AU21" s="231"/>
      <c r="AV21" s="231"/>
      <c r="AW21" s="231"/>
      <c r="AX21" s="231"/>
      <c r="AY21" s="231"/>
      <c r="AZ21" s="231"/>
      <c r="BA21" s="231"/>
      <c r="BB21" s="231"/>
      <c r="BC21" s="231"/>
      <c r="BD21" s="231"/>
      <c r="BE21" s="231"/>
      <c r="BF21" s="231"/>
      <c r="BG21" s="231"/>
      <c r="BH21" s="231"/>
      <c r="BI21" s="231"/>
      <c r="BJ21" s="231"/>
      <c r="BK21" s="231"/>
      <c r="BL21" s="231"/>
      <c r="BM21" s="231"/>
      <c r="BN21" s="231"/>
      <c r="BO21" s="231"/>
      <c r="BP21" s="231"/>
      <c r="BQ21" s="231"/>
    </row>
    <row r="22" spans="2:69">
      <c r="B22" s="12"/>
      <c r="C22" s="12"/>
      <c r="D22" s="231"/>
      <c r="E22" s="231"/>
      <c r="F22" s="231"/>
      <c r="G22" s="231"/>
      <c r="H22" s="231"/>
      <c r="I22" s="231"/>
      <c r="J22" s="231"/>
      <c r="K22" s="231"/>
      <c r="L22" s="231"/>
      <c r="M22" s="231"/>
      <c r="N22" s="231"/>
      <c r="O22" s="231"/>
      <c r="P22" s="231"/>
      <c r="Q22" s="231"/>
      <c r="R22" s="231"/>
      <c r="S22" s="231"/>
      <c r="T22" s="231"/>
      <c r="U22" s="231"/>
      <c r="V22" s="231"/>
      <c r="W22" s="231"/>
      <c r="X22" s="231"/>
      <c r="Y22" s="231"/>
      <c r="Z22" s="231"/>
      <c r="AA22" s="231"/>
      <c r="AB22" s="231"/>
      <c r="AC22" s="231"/>
      <c r="AD22" s="231"/>
      <c r="AE22" s="231"/>
      <c r="AF22" s="231"/>
      <c r="AG22" s="231"/>
      <c r="AH22" s="231"/>
      <c r="AI22" s="231"/>
      <c r="AJ22" s="231"/>
      <c r="AK22" s="231"/>
      <c r="AL22" s="231"/>
      <c r="AM22" s="231"/>
      <c r="AN22" s="231"/>
      <c r="AO22" s="231"/>
      <c r="AP22" s="231"/>
      <c r="AQ22" s="231"/>
      <c r="AR22" s="231"/>
      <c r="AS22" s="231"/>
      <c r="AT22" s="231"/>
      <c r="AU22" s="231"/>
      <c r="AV22" s="231"/>
      <c r="AW22" s="231"/>
      <c r="AX22" s="231"/>
      <c r="AY22" s="231"/>
      <c r="AZ22" s="231"/>
      <c r="BA22" s="231"/>
      <c r="BB22" s="231"/>
      <c r="BC22" s="231"/>
      <c r="BD22" s="231"/>
      <c r="BE22" s="231"/>
      <c r="BF22" s="231"/>
      <c r="BG22" s="231"/>
      <c r="BH22" s="231"/>
      <c r="BI22" s="231"/>
      <c r="BJ22" s="231"/>
      <c r="BK22" s="231"/>
      <c r="BL22" s="231"/>
      <c r="BM22" s="231"/>
      <c r="BN22" s="231"/>
      <c r="BO22" s="231"/>
      <c r="BP22" s="231"/>
      <c r="BQ22" s="231"/>
    </row>
    <row r="23" spans="2:69">
      <c r="B23" s="12"/>
      <c r="C23" s="12"/>
      <c r="D23" s="231"/>
      <c r="E23" s="231"/>
      <c r="F23" s="231"/>
      <c r="G23" s="231"/>
      <c r="H23" s="231"/>
      <c r="I23" s="231"/>
      <c r="J23" s="231"/>
      <c r="K23" s="231"/>
      <c r="L23" s="231"/>
      <c r="M23" s="231"/>
      <c r="N23" s="231"/>
      <c r="O23" s="231"/>
      <c r="P23" s="231"/>
      <c r="Q23" s="231"/>
      <c r="R23" s="231"/>
      <c r="S23" s="231"/>
      <c r="T23" s="231"/>
      <c r="U23" s="231"/>
      <c r="V23" s="231"/>
      <c r="W23" s="231"/>
      <c r="X23" s="231"/>
      <c r="Y23" s="231"/>
      <c r="Z23" s="231"/>
      <c r="AA23" s="231"/>
      <c r="AB23" s="231"/>
      <c r="AC23" s="231"/>
      <c r="AD23" s="231"/>
      <c r="AE23" s="231"/>
      <c r="AF23" s="231"/>
      <c r="AG23" s="231"/>
      <c r="AH23" s="231"/>
      <c r="AI23" s="231"/>
      <c r="AJ23" s="231"/>
      <c r="AK23" s="231"/>
      <c r="AL23" s="231"/>
      <c r="AM23" s="231"/>
      <c r="AN23" s="231"/>
      <c r="AO23" s="231"/>
      <c r="AP23" s="231"/>
      <c r="AQ23" s="231"/>
      <c r="AR23" s="231"/>
      <c r="AS23" s="231"/>
      <c r="AT23" s="231"/>
      <c r="AU23" s="231"/>
      <c r="AV23" s="231"/>
      <c r="AW23" s="231"/>
      <c r="AX23" s="231"/>
      <c r="AY23" s="231"/>
      <c r="AZ23" s="231"/>
      <c r="BA23" s="231"/>
      <c r="BB23" s="231"/>
      <c r="BC23" s="231"/>
      <c r="BD23" s="231"/>
      <c r="BE23" s="231"/>
      <c r="BF23" s="231"/>
      <c r="BG23" s="231"/>
      <c r="BH23" s="231"/>
      <c r="BI23" s="231"/>
      <c r="BJ23" s="231"/>
      <c r="BK23" s="231"/>
      <c r="BL23" s="231"/>
      <c r="BM23" s="231"/>
      <c r="BN23" s="231"/>
      <c r="BO23" s="231"/>
      <c r="BP23" s="231"/>
      <c r="BQ23" s="23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43" r:id="rId4" name="Button 3">
              <controlPr defaultSize="0" print="0" autoFill="0" autoPict="0" macro="[0]!effective_duration_calc">
                <anchor moveWithCells="1" sizeWithCells="1">
                  <from>
                    <xdr:col>1</xdr:col>
                    <xdr:colOff>142875</xdr:colOff>
                    <xdr:row>16</xdr:row>
                    <xdr:rowOff>19050</xdr:rowOff>
                  </from>
                  <to>
                    <xdr:col>2</xdr:col>
                    <xdr:colOff>257175</xdr:colOff>
                    <xdr:row>18</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C9A47-C028-451E-87DE-64B9C516F331}">
  <sheetPr codeName="Sheet45">
    <tabColor theme="9"/>
  </sheetPr>
  <dimension ref="A1:U43"/>
  <sheetViews>
    <sheetView zoomScale="90" zoomScaleNormal="90" workbookViewId="0">
      <selection activeCell="G32" sqref="G32"/>
    </sheetView>
  </sheetViews>
  <sheetFormatPr defaultRowHeight="15"/>
  <cols>
    <col min="1" max="1" width="21.5703125" style="3" customWidth="1"/>
    <col min="2" max="2" width="18.85546875" style="3" customWidth="1"/>
    <col min="3" max="4" width="14.140625" style="3" customWidth="1"/>
    <col min="5" max="5" width="16.42578125" style="3" bestFit="1" customWidth="1"/>
    <col min="6" max="6" width="16.5703125" style="3" customWidth="1"/>
    <col min="7" max="7" width="24.85546875" style="3" bestFit="1" customWidth="1"/>
    <col min="8" max="8" width="22" style="3" bestFit="1" customWidth="1"/>
    <col min="9" max="9" width="14.85546875" style="3" customWidth="1"/>
    <col min="10" max="10" width="14.5703125" style="3" bestFit="1" customWidth="1"/>
    <col min="11" max="11" width="15" style="3" bestFit="1" customWidth="1"/>
    <col min="12" max="12" width="11.140625" style="3" bestFit="1" customWidth="1"/>
    <col min="13" max="13" width="12.140625" style="3" bestFit="1" customWidth="1"/>
    <col min="14" max="14" width="13.85546875" style="3" bestFit="1" customWidth="1"/>
    <col min="15" max="15" width="16.7109375" style="3" bestFit="1" customWidth="1"/>
    <col min="16" max="16" width="13.42578125" style="3" bestFit="1" customWidth="1"/>
    <col min="17" max="17" width="8.7109375" style="3"/>
    <col min="18" max="18" width="11.28515625" style="3" bestFit="1" customWidth="1"/>
    <col min="19" max="19" width="11.5703125" style="3" bestFit="1" customWidth="1"/>
    <col min="20" max="259" width="8.7109375" style="3"/>
    <col min="260" max="260" width="37.5703125" style="3" customWidth="1"/>
    <col min="261" max="261" width="12.5703125" style="3" customWidth="1"/>
    <col min="262" max="270" width="13.42578125" style="3" customWidth="1"/>
    <col min="271" max="515" width="8.7109375" style="3"/>
    <col min="516" max="516" width="37.5703125" style="3" customWidth="1"/>
    <col min="517" max="517" width="12.5703125" style="3" customWidth="1"/>
    <col min="518" max="526" width="13.42578125" style="3" customWidth="1"/>
    <col min="527" max="771" width="8.7109375" style="3"/>
    <col min="772" max="772" width="37.5703125" style="3" customWidth="1"/>
    <col min="773" max="773" width="12.5703125" style="3" customWidth="1"/>
    <col min="774" max="782" width="13.42578125" style="3" customWidth="1"/>
    <col min="783" max="1027" width="8.7109375" style="3"/>
    <col min="1028" max="1028" width="37.5703125" style="3" customWidth="1"/>
    <col min="1029" max="1029" width="12.5703125" style="3" customWidth="1"/>
    <col min="1030" max="1038" width="13.42578125" style="3" customWidth="1"/>
    <col min="1039" max="1283" width="8.7109375" style="3"/>
    <col min="1284" max="1284" width="37.5703125" style="3" customWidth="1"/>
    <col min="1285" max="1285" width="12.5703125" style="3" customWidth="1"/>
    <col min="1286" max="1294" width="13.42578125" style="3" customWidth="1"/>
    <col min="1295" max="1539" width="8.7109375" style="3"/>
    <col min="1540" max="1540" width="37.5703125" style="3" customWidth="1"/>
    <col min="1541" max="1541" width="12.5703125" style="3" customWidth="1"/>
    <col min="1542" max="1550" width="13.42578125" style="3" customWidth="1"/>
    <col min="1551" max="1795" width="8.7109375" style="3"/>
    <col min="1796" max="1796" width="37.5703125" style="3" customWidth="1"/>
    <col min="1797" max="1797" width="12.5703125" style="3" customWidth="1"/>
    <col min="1798" max="1806" width="13.42578125" style="3" customWidth="1"/>
    <col min="1807" max="2051" width="8.7109375" style="3"/>
    <col min="2052" max="2052" width="37.5703125" style="3" customWidth="1"/>
    <col min="2053" max="2053" width="12.5703125" style="3" customWidth="1"/>
    <col min="2054" max="2062" width="13.42578125" style="3" customWidth="1"/>
    <col min="2063" max="2307" width="8.7109375" style="3"/>
    <col min="2308" max="2308" width="37.5703125" style="3" customWidth="1"/>
    <col min="2309" max="2309" width="12.5703125" style="3" customWidth="1"/>
    <col min="2310" max="2318" width="13.42578125" style="3" customWidth="1"/>
    <col min="2319" max="2563" width="8.7109375" style="3"/>
    <col min="2564" max="2564" width="37.5703125" style="3" customWidth="1"/>
    <col min="2565" max="2565" width="12.5703125" style="3" customWidth="1"/>
    <col min="2566" max="2574" width="13.42578125" style="3" customWidth="1"/>
    <col min="2575" max="2819" width="8.7109375" style="3"/>
    <col min="2820" max="2820" width="37.5703125" style="3" customWidth="1"/>
    <col min="2821" max="2821" width="12.5703125" style="3" customWidth="1"/>
    <col min="2822" max="2830" width="13.42578125" style="3" customWidth="1"/>
    <col min="2831" max="3075" width="8.7109375" style="3"/>
    <col min="3076" max="3076" width="37.5703125" style="3" customWidth="1"/>
    <col min="3077" max="3077" width="12.5703125" style="3" customWidth="1"/>
    <col min="3078" max="3086" width="13.42578125" style="3" customWidth="1"/>
    <col min="3087" max="3331" width="8.7109375" style="3"/>
    <col min="3332" max="3332" width="37.5703125" style="3" customWidth="1"/>
    <col min="3333" max="3333" width="12.5703125" style="3" customWidth="1"/>
    <col min="3334" max="3342" width="13.42578125" style="3" customWidth="1"/>
    <col min="3343" max="3587" width="8.7109375" style="3"/>
    <col min="3588" max="3588" width="37.5703125" style="3" customWidth="1"/>
    <col min="3589" max="3589" width="12.5703125" style="3" customWidth="1"/>
    <col min="3590" max="3598" width="13.42578125" style="3" customWidth="1"/>
    <col min="3599" max="3843" width="8.7109375" style="3"/>
    <col min="3844" max="3844" width="37.5703125" style="3" customWidth="1"/>
    <col min="3845" max="3845" width="12.5703125" style="3" customWidth="1"/>
    <col min="3846" max="3854" width="13.42578125" style="3" customWidth="1"/>
    <col min="3855" max="4099" width="8.7109375" style="3"/>
    <col min="4100" max="4100" width="37.5703125" style="3" customWidth="1"/>
    <col min="4101" max="4101" width="12.5703125" style="3" customWidth="1"/>
    <col min="4102" max="4110" width="13.42578125" style="3" customWidth="1"/>
    <col min="4111" max="4355" width="8.7109375" style="3"/>
    <col min="4356" max="4356" width="37.5703125" style="3" customWidth="1"/>
    <col min="4357" max="4357" width="12.5703125" style="3" customWidth="1"/>
    <col min="4358" max="4366" width="13.42578125" style="3" customWidth="1"/>
    <col min="4367" max="4611" width="8.7109375" style="3"/>
    <col min="4612" max="4612" width="37.5703125" style="3" customWidth="1"/>
    <col min="4613" max="4613" width="12.5703125" style="3" customWidth="1"/>
    <col min="4614" max="4622" width="13.42578125" style="3" customWidth="1"/>
    <col min="4623" max="4867" width="8.7109375" style="3"/>
    <col min="4868" max="4868" width="37.5703125" style="3" customWidth="1"/>
    <col min="4869" max="4869" width="12.5703125" style="3" customWidth="1"/>
    <col min="4870" max="4878" width="13.42578125" style="3" customWidth="1"/>
    <col min="4879" max="5123" width="8.7109375" style="3"/>
    <col min="5124" max="5124" width="37.5703125" style="3" customWidth="1"/>
    <col min="5125" max="5125" width="12.5703125" style="3" customWidth="1"/>
    <col min="5126" max="5134" width="13.42578125" style="3" customWidth="1"/>
    <col min="5135" max="5379" width="8.7109375" style="3"/>
    <col min="5380" max="5380" width="37.5703125" style="3" customWidth="1"/>
    <col min="5381" max="5381" width="12.5703125" style="3" customWidth="1"/>
    <col min="5382" max="5390" width="13.42578125" style="3" customWidth="1"/>
    <col min="5391" max="5635" width="8.7109375" style="3"/>
    <col min="5636" max="5636" width="37.5703125" style="3" customWidth="1"/>
    <col min="5637" max="5637" width="12.5703125" style="3" customWidth="1"/>
    <col min="5638" max="5646" width="13.42578125" style="3" customWidth="1"/>
    <col min="5647" max="5891" width="8.7109375" style="3"/>
    <col min="5892" max="5892" width="37.5703125" style="3" customWidth="1"/>
    <col min="5893" max="5893" width="12.5703125" style="3" customWidth="1"/>
    <col min="5894" max="5902" width="13.42578125" style="3" customWidth="1"/>
    <col min="5903" max="6147" width="8.7109375" style="3"/>
    <col min="6148" max="6148" width="37.5703125" style="3" customWidth="1"/>
    <col min="6149" max="6149" width="12.5703125" style="3" customWidth="1"/>
    <col min="6150" max="6158" width="13.42578125" style="3" customWidth="1"/>
    <col min="6159" max="6403" width="8.7109375" style="3"/>
    <col min="6404" max="6404" width="37.5703125" style="3" customWidth="1"/>
    <col min="6405" max="6405" width="12.5703125" style="3" customWidth="1"/>
    <col min="6406" max="6414" width="13.42578125" style="3" customWidth="1"/>
    <col min="6415" max="6659" width="8.7109375" style="3"/>
    <col min="6660" max="6660" width="37.5703125" style="3" customWidth="1"/>
    <col min="6661" max="6661" width="12.5703125" style="3" customWidth="1"/>
    <col min="6662" max="6670" width="13.42578125" style="3" customWidth="1"/>
    <col min="6671" max="6915" width="8.7109375" style="3"/>
    <col min="6916" max="6916" width="37.5703125" style="3" customWidth="1"/>
    <col min="6917" max="6917" width="12.5703125" style="3" customWidth="1"/>
    <col min="6918" max="6926" width="13.42578125" style="3" customWidth="1"/>
    <col min="6927" max="7171" width="8.7109375" style="3"/>
    <col min="7172" max="7172" width="37.5703125" style="3" customWidth="1"/>
    <col min="7173" max="7173" width="12.5703125" style="3" customWidth="1"/>
    <col min="7174" max="7182" width="13.42578125" style="3" customWidth="1"/>
    <col min="7183" max="7427" width="8.7109375" style="3"/>
    <col min="7428" max="7428" width="37.5703125" style="3" customWidth="1"/>
    <col min="7429" max="7429" width="12.5703125" style="3" customWidth="1"/>
    <col min="7430" max="7438" width="13.42578125" style="3" customWidth="1"/>
    <col min="7439" max="7683" width="8.7109375" style="3"/>
    <col min="7684" max="7684" width="37.5703125" style="3" customWidth="1"/>
    <col min="7685" max="7685" width="12.5703125" style="3" customWidth="1"/>
    <col min="7686" max="7694" width="13.42578125" style="3" customWidth="1"/>
    <col min="7695" max="7939" width="8.7109375" style="3"/>
    <col min="7940" max="7940" width="37.5703125" style="3" customWidth="1"/>
    <col min="7941" max="7941" width="12.5703125" style="3" customWidth="1"/>
    <col min="7942" max="7950" width="13.42578125" style="3" customWidth="1"/>
    <col min="7951" max="8195" width="8.7109375" style="3"/>
    <col min="8196" max="8196" width="37.5703125" style="3" customWidth="1"/>
    <col min="8197" max="8197" width="12.5703125" style="3" customWidth="1"/>
    <col min="8198" max="8206" width="13.42578125" style="3" customWidth="1"/>
    <col min="8207" max="8451" width="8.7109375" style="3"/>
    <col min="8452" max="8452" width="37.5703125" style="3" customWidth="1"/>
    <col min="8453" max="8453" width="12.5703125" style="3" customWidth="1"/>
    <col min="8454" max="8462" width="13.42578125" style="3" customWidth="1"/>
    <col min="8463" max="8707" width="8.7109375" style="3"/>
    <col min="8708" max="8708" width="37.5703125" style="3" customWidth="1"/>
    <col min="8709" max="8709" width="12.5703125" style="3" customWidth="1"/>
    <col min="8710" max="8718" width="13.42578125" style="3" customWidth="1"/>
    <col min="8719" max="8963" width="8.7109375" style="3"/>
    <col min="8964" max="8964" width="37.5703125" style="3" customWidth="1"/>
    <col min="8965" max="8965" width="12.5703125" style="3" customWidth="1"/>
    <col min="8966" max="8974" width="13.42578125" style="3" customWidth="1"/>
    <col min="8975" max="9219" width="8.7109375" style="3"/>
    <col min="9220" max="9220" width="37.5703125" style="3" customWidth="1"/>
    <col min="9221" max="9221" width="12.5703125" style="3" customWidth="1"/>
    <col min="9222" max="9230" width="13.42578125" style="3" customWidth="1"/>
    <col min="9231" max="9475" width="8.7109375" style="3"/>
    <col min="9476" max="9476" width="37.5703125" style="3" customWidth="1"/>
    <col min="9477" max="9477" width="12.5703125" style="3" customWidth="1"/>
    <col min="9478" max="9486" width="13.42578125" style="3" customWidth="1"/>
    <col min="9487" max="9731" width="8.7109375" style="3"/>
    <col min="9732" max="9732" width="37.5703125" style="3" customWidth="1"/>
    <col min="9733" max="9733" width="12.5703125" style="3" customWidth="1"/>
    <col min="9734" max="9742" width="13.42578125" style="3" customWidth="1"/>
    <col min="9743" max="9987" width="8.7109375" style="3"/>
    <col min="9988" max="9988" width="37.5703125" style="3" customWidth="1"/>
    <col min="9989" max="9989" width="12.5703125" style="3" customWidth="1"/>
    <col min="9990" max="9998" width="13.42578125" style="3" customWidth="1"/>
    <col min="9999" max="10243" width="8.7109375" style="3"/>
    <col min="10244" max="10244" width="37.5703125" style="3" customWidth="1"/>
    <col min="10245" max="10245" width="12.5703125" style="3" customWidth="1"/>
    <col min="10246" max="10254" width="13.42578125" style="3" customWidth="1"/>
    <col min="10255" max="10499" width="8.7109375" style="3"/>
    <col min="10500" max="10500" width="37.5703125" style="3" customWidth="1"/>
    <col min="10501" max="10501" width="12.5703125" style="3" customWidth="1"/>
    <col min="10502" max="10510" width="13.42578125" style="3" customWidth="1"/>
    <col min="10511" max="10755" width="8.7109375" style="3"/>
    <col min="10756" max="10756" width="37.5703125" style="3" customWidth="1"/>
    <col min="10757" max="10757" width="12.5703125" style="3" customWidth="1"/>
    <col min="10758" max="10766" width="13.42578125" style="3" customWidth="1"/>
    <col min="10767" max="11011" width="8.7109375" style="3"/>
    <col min="11012" max="11012" width="37.5703125" style="3" customWidth="1"/>
    <col min="11013" max="11013" width="12.5703125" style="3" customWidth="1"/>
    <col min="11014" max="11022" width="13.42578125" style="3" customWidth="1"/>
    <col min="11023" max="11267" width="8.7109375" style="3"/>
    <col min="11268" max="11268" width="37.5703125" style="3" customWidth="1"/>
    <col min="11269" max="11269" width="12.5703125" style="3" customWidth="1"/>
    <col min="11270" max="11278" width="13.42578125" style="3" customWidth="1"/>
    <col min="11279" max="11523" width="8.7109375" style="3"/>
    <col min="11524" max="11524" width="37.5703125" style="3" customWidth="1"/>
    <col min="11525" max="11525" width="12.5703125" style="3" customWidth="1"/>
    <col min="11526" max="11534" width="13.42578125" style="3" customWidth="1"/>
    <col min="11535" max="11779" width="8.7109375" style="3"/>
    <col min="11780" max="11780" width="37.5703125" style="3" customWidth="1"/>
    <col min="11781" max="11781" width="12.5703125" style="3" customWidth="1"/>
    <col min="11782" max="11790" width="13.42578125" style="3" customWidth="1"/>
    <col min="11791" max="12035" width="8.7109375" style="3"/>
    <col min="12036" max="12036" width="37.5703125" style="3" customWidth="1"/>
    <col min="12037" max="12037" width="12.5703125" style="3" customWidth="1"/>
    <col min="12038" max="12046" width="13.42578125" style="3" customWidth="1"/>
    <col min="12047" max="12291" width="8.7109375" style="3"/>
    <col min="12292" max="12292" width="37.5703125" style="3" customWidth="1"/>
    <col min="12293" max="12293" width="12.5703125" style="3" customWidth="1"/>
    <col min="12294" max="12302" width="13.42578125" style="3" customWidth="1"/>
    <col min="12303" max="12547" width="8.7109375" style="3"/>
    <col min="12548" max="12548" width="37.5703125" style="3" customWidth="1"/>
    <col min="12549" max="12549" width="12.5703125" style="3" customWidth="1"/>
    <col min="12550" max="12558" width="13.42578125" style="3" customWidth="1"/>
    <col min="12559" max="12803" width="8.7109375" style="3"/>
    <col min="12804" max="12804" width="37.5703125" style="3" customWidth="1"/>
    <col min="12805" max="12805" width="12.5703125" style="3" customWidth="1"/>
    <col min="12806" max="12814" width="13.42578125" style="3" customWidth="1"/>
    <col min="12815" max="13059" width="8.7109375" style="3"/>
    <col min="13060" max="13060" width="37.5703125" style="3" customWidth="1"/>
    <col min="13061" max="13061" width="12.5703125" style="3" customWidth="1"/>
    <col min="13062" max="13070" width="13.42578125" style="3" customWidth="1"/>
    <col min="13071" max="13315" width="8.7109375" style="3"/>
    <col min="13316" max="13316" width="37.5703125" style="3" customWidth="1"/>
    <col min="13317" max="13317" width="12.5703125" style="3" customWidth="1"/>
    <col min="13318" max="13326" width="13.42578125" style="3" customWidth="1"/>
    <col min="13327" max="13571" width="8.7109375" style="3"/>
    <col min="13572" max="13572" width="37.5703125" style="3" customWidth="1"/>
    <col min="13573" max="13573" width="12.5703125" style="3" customWidth="1"/>
    <col min="13574" max="13582" width="13.42578125" style="3" customWidth="1"/>
    <col min="13583" max="13827" width="8.7109375" style="3"/>
    <col min="13828" max="13828" width="37.5703125" style="3" customWidth="1"/>
    <col min="13829" max="13829" width="12.5703125" style="3" customWidth="1"/>
    <col min="13830" max="13838" width="13.42578125" style="3" customWidth="1"/>
    <col min="13839" max="14083" width="8.7109375" style="3"/>
    <col min="14084" max="14084" width="37.5703125" style="3" customWidth="1"/>
    <col min="14085" max="14085" width="12.5703125" style="3" customWidth="1"/>
    <col min="14086" max="14094" width="13.42578125" style="3" customWidth="1"/>
    <col min="14095" max="14339" width="8.7109375" style="3"/>
    <col min="14340" max="14340" width="37.5703125" style="3" customWidth="1"/>
    <col min="14341" max="14341" width="12.5703125" style="3" customWidth="1"/>
    <col min="14342" max="14350" width="13.42578125" style="3" customWidth="1"/>
    <col min="14351" max="14595" width="8.7109375" style="3"/>
    <col min="14596" max="14596" width="37.5703125" style="3" customWidth="1"/>
    <col min="14597" max="14597" width="12.5703125" style="3" customWidth="1"/>
    <col min="14598" max="14606" width="13.42578125" style="3" customWidth="1"/>
    <col min="14607" max="14851" width="8.7109375" style="3"/>
    <col min="14852" max="14852" width="37.5703125" style="3" customWidth="1"/>
    <col min="14853" max="14853" width="12.5703125" style="3" customWidth="1"/>
    <col min="14854" max="14862" width="13.42578125" style="3" customWidth="1"/>
    <col min="14863" max="15107" width="8.7109375" style="3"/>
    <col min="15108" max="15108" width="37.5703125" style="3" customWidth="1"/>
    <col min="15109" max="15109" width="12.5703125" style="3" customWidth="1"/>
    <col min="15110" max="15118" width="13.42578125" style="3" customWidth="1"/>
    <col min="15119" max="15363" width="8.7109375" style="3"/>
    <col min="15364" max="15364" width="37.5703125" style="3" customWidth="1"/>
    <col min="15365" max="15365" width="12.5703125" style="3" customWidth="1"/>
    <col min="15366" max="15374" width="13.42578125" style="3" customWidth="1"/>
    <col min="15375" max="15619" width="8.7109375" style="3"/>
    <col min="15620" max="15620" width="37.5703125" style="3" customWidth="1"/>
    <col min="15621" max="15621" width="12.5703125" style="3" customWidth="1"/>
    <col min="15622" max="15630" width="13.42578125" style="3" customWidth="1"/>
    <col min="15631" max="15875" width="8.7109375" style="3"/>
    <col min="15876" max="15876" width="37.5703125" style="3" customWidth="1"/>
    <col min="15877" max="15877" width="12.5703125" style="3" customWidth="1"/>
    <col min="15878" max="15886" width="13.42578125" style="3" customWidth="1"/>
    <col min="15887" max="16131" width="8.7109375" style="3"/>
    <col min="16132" max="16132" width="37.5703125" style="3" customWidth="1"/>
    <col min="16133" max="16133" width="12.5703125" style="3" customWidth="1"/>
    <col min="16134" max="16142" width="13.42578125" style="3" customWidth="1"/>
    <col min="16143" max="16384" width="8.7109375" style="3"/>
  </cols>
  <sheetData>
    <row r="1" spans="1:21" ht="32.25">
      <c r="A1" s="1" t="s">
        <v>569</v>
      </c>
      <c r="B1" s="2"/>
      <c r="C1" s="2"/>
      <c r="D1" s="2"/>
      <c r="E1" s="2"/>
      <c r="F1" s="2"/>
      <c r="G1" s="2"/>
      <c r="H1" s="2"/>
      <c r="I1" s="2"/>
      <c r="J1" s="2"/>
      <c r="K1" s="2"/>
      <c r="L1" s="2"/>
      <c r="M1" s="2"/>
      <c r="N1" s="1"/>
      <c r="O1" s="1"/>
      <c r="P1" s="2"/>
      <c r="Q1" s="2"/>
      <c r="R1" s="2"/>
      <c r="S1" s="2"/>
      <c r="T1" s="2"/>
    </row>
    <row r="2" spans="1:21" s="13" customFormat="1" ht="21.6" customHeight="1">
      <c r="A2" s="4" t="s">
        <v>429</v>
      </c>
      <c r="B2" s="4"/>
      <c r="C2" s="4"/>
      <c r="D2" s="4"/>
      <c r="E2" s="4"/>
      <c r="F2" s="4"/>
      <c r="G2" s="4"/>
      <c r="H2" s="4"/>
      <c r="I2" s="4"/>
      <c r="J2" s="4"/>
      <c r="K2" s="4"/>
      <c r="L2" s="4"/>
      <c r="M2" s="4"/>
      <c r="N2" s="4"/>
      <c r="O2" s="4"/>
      <c r="P2" s="4"/>
      <c r="Q2" s="4"/>
      <c r="R2" s="4"/>
      <c r="S2" s="4"/>
      <c r="T2" s="4"/>
      <c r="U2" s="3"/>
    </row>
    <row r="3" spans="1:21" s="13" customFormat="1">
      <c r="R3" s="3"/>
      <c r="S3" s="3"/>
      <c r="T3" s="3"/>
      <c r="U3" s="3"/>
    </row>
    <row r="5" spans="1:21" ht="23.25">
      <c r="A5" s="10" t="s">
        <v>394</v>
      </c>
      <c r="B5" s="10"/>
    </row>
    <row r="6" spans="1:21">
      <c r="A6" t="s">
        <v>430</v>
      </c>
      <c r="B6" s="294">
        <f>Dashboard!F9</f>
        <v>1142.532522191952</v>
      </c>
    </row>
    <row r="7" spans="1:21">
      <c r="A7" t="s">
        <v>431</v>
      </c>
      <c r="B7" s="294">
        <f>Dashboard!G9</f>
        <v>1174.5730997149365</v>
      </c>
    </row>
    <row r="8" spans="1:21">
      <c r="A8" t="s">
        <v>432</v>
      </c>
      <c r="B8" s="294">
        <f>B6-B7</f>
        <v>-32.040577522984449</v>
      </c>
    </row>
    <row r="11" spans="1:21" ht="23.25">
      <c r="A11" s="10" t="s">
        <v>435</v>
      </c>
      <c r="B11" s="10"/>
      <c r="C11" s="10"/>
      <c r="D11" s="10"/>
    </row>
    <row r="12" spans="1:21">
      <c r="A12" s="153" t="s">
        <v>436</v>
      </c>
      <c r="B12" s="311" t="s">
        <v>437</v>
      </c>
      <c r="C12" s="311" t="s">
        <v>438</v>
      </c>
      <c r="D12" s="311" t="s">
        <v>440</v>
      </c>
    </row>
    <row r="13" spans="1:21">
      <c r="A13" t="s">
        <v>597</v>
      </c>
      <c r="B13" s="310">
        <f>B16</f>
        <v>4.9399999999999999E-2</v>
      </c>
      <c r="C13" s="310">
        <v>0</v>
      </c>
      <c r="D13" s="359">
        <v>1E-4</v>
      </c>
    </row>
    <row r="14" spans="1:21">
      <c r="A14" t="s">
        <v>571</v>
      </c>
      <c r="B14" s="310">
        <f>B13 - 0.005</f>
        <v>4.4400000000000002E-2</v>
      </c>
      <c r="C14" s="310">
        <v>7.4999999999999997E-3</v>
      </c>
      <c r="D14" s="358">
        <v>1E-4</v>
      </c>
    </row>
    <row r="15" spans="1:21">
      <c r="A15" t="s">
        <v>441</v>
      </c>
      <c r="B15" s="310">
        <f xml:space="preserve"> B13 + 0.005</f>
        <v>5.4399999999999997E-2</v>
      </c>
      <c r="C15" s="310">
        <v>7.4999999999999997E-3</v>
      </c>
      <c r="D15" s="358">
        <v>1E-4</v>
      </c>
    </row>
    <row r="16" spans="1:21">
      <c r="A16" t="s">
        <v>577</v>
      </c>
      <c r="B16" s="310">
        <f>Dashboard!F32</f>
        <v>4.9399999999999999E-2</v>
      </c>
    </row>
    <row r="18" spans="1:10" ht="23.25">
      <c r="A18" s="10" t="s">
        <v>442</v>
      </c>
      <c r="B18" s="10"/>
      <c r="C18" s="10"/>
    </row>
    <row r="19" spans="1:10">
      <c r="A19" s="153"/>
      <c r="B19" s="311" t="s">
        <v>449</v>
      </c>
      <c r="C19" s="311" t="s">
        <v>438</v>
      </c>
    </row>
    <row r="20" spans="1:10">
      <c r="A20" s="349" t="s">
        <v>573</v>
      </c>
      <c r="B20" s="294">
        <v>0</v>
      </c>
      <c r="C20" s="294">
        <v>0</v>
      </c>
    </row>
    <row r="21" spans="1:10">
      <c r="A21" t="s">
        <v>597</v>
      </c>
      <c r="B21" s="294">
        <f>-B8/D13</f>
        <v>320405.7752298445</v>
      </c>
      <c r="C21" s="294">
        <f>B21*C13</f>
        <v>0</v>
      </c>
    </row>
    <row r="22" spans="1:10">
      <c r="A22" t="s">
        <v>571</v>
      </c>
      <c r="B22" s="294">
        <f>-B8/$D$14</f>
        <v>320405.7752298445</v>
      </c>
      <c r="C22" s="294">
        <f>B22*C14</f>
        <v>2403.0433142238335</v>
      </c>
    </row>
    <row r="23" spans="1:10">
      <c r="A23" t="s">
        <v>452</v>
      </c>
      <c r="B23" s="294">
        <f>SUM(B22,B24)</f>
        <v>0</v>
      </c>
      <c r="C23" s="294">
        <f>SUM(C22,C24)</f>
        <v>0</v>
      </c>
    </row>
    <row r="24" spans="1:10">
      <c r="A24" t="s">
        <v>441</v>
      </c>
      <c r="B24" s="294">
        <f>-B22</f>
        <v>-320405.7752298445</v>
      </c>
      <c r="C24" s="294">
        <f>B24*C15</f>
        <v>-2403.0433142238335</v>
      </c>
    </row>
    <row r="26" spans="1:10">
      <c r="A26" t="s">
        <v>575</v>
      </c>
      <c r="B26" s="310">
        <f>Dashboard!H32</f>
        <v>5.4399999999999997E-2</v>
      </c>
    </row>
    <row r="27" spans="1:10">
      <c r="A27" t="s">
        <v>578</v>
      </c>
    </row>
    <row r="29" spans="1:10" ht="23.25">
      <c r="A29" s="10" t="s">
        <v>586</v>
      </c>
      <c r="B29" s="10"/>
      <c r="C29" s="10"/>
      <c r="D29" s="10"/>
      <c r="E29" s="10"/>
      <c r="F29" s="10"/>
      <c r="G29" s="10"/>
      <c r="H29" s="10"/>
      <c r="I29" s="10"/>
      <c r="J29" s="10"/>
    </row>
    <row r="30" spans="1:10" ht="23.25">
      <c r="A30" s="10"/>
      <c r="B30" s="370" t="s">
        <v>595</v>
      </c>
      <c r="C30" s="371"/>
      <c r="D30" s="371"/>
      <c r="E30" s="372"/>
      <c r="F30" s="370" t="s">
        <v>594</v>
      </c>
      <c r="G30" s="371"/>
      <c r="H30" s="371"/>
      <c r="I30" s="371"/>
      <c r="J30" s="372"/>
    </row>
    <row r="31" spans="1:10">
      <c r="A31" s="153" t="s">
        <v>570</v>
      </c>
      <c r="B31" s="311" t="s">
        <v>589</v>
      </c>
      <c r="C31" s="311" t="s">
        <v>438</v>
      </c>
      <c r="D31" s="311" t="s">
        <v>440</v>
      </c>
      <c r="E31" s="311" t="s">
        <v>590</v>
      </c>
      <c r="F31" s="311" t="s">
        <v>589</v>
      </c>
      <c r="G31" s="311" t="s">
        <v>438</v>
      </c>
      <c r="H31" s="311" t="s">
        <v>440</v>
      </c>
      <c r="I31" s="311" t="s">
        <v>574</v>
      </c>
      <c r="J31" s="311" t="s">
        <v>590</v>
      </c>
    </row>
    <row r="32" spans="1:10">
      <c r="A32" t="str">
        <f>Dashboard!C23</f>
        <v>Receive Fixed Swap</v>
      </c>
      <c r="B32" s="295">
        <f>IF( A32 = $A23, $B$22, _xlfn.XLOOKUP($A$32, $A$20:$A$23,B$20:B$23) )</f>
        <v>320405.7752298445</v>
      </c>
      <c r="C32" s="295">
        <f>_xlfn.XLOOKUP($A$32, $A$20:$A$23,C$20:C$23)</f>
        <v>0</v>
      </c>
      <c r="D32" s="348">
        <f>IF( $A$32 = $A$23, $D$14, _xlfn.XLOOKUP($A$32, $A$13:$A$15,D$13:D$15, 0) )</f>
        <v>1E-4</v>
      </c>
      <c r="E32" s="353">
        <f>($B$26 - $B$16) + IF(A$32 = "Zero Cost Collar", $B$14, _xlfn.XLOOKUP($A32,$A$13:$A$15, $B$13:$B$15, B16-B26) )</f>
        <v>5.4399999999999997E-2</v>
      </c>
      <c r="F32" s="295">
        <v>-2087793.7</v>
      </c>
      <c r="G32" s="295">
        <v>0</v>
      </c>
      <c r="H32" s="356">
        <v>1E-4</v>
      </c>
      <c r="I32" s="295">
        <f>IF( $A$32 = "Receiver Swaption", MAX($J$32 - $B$26, 0) * $F$32, IF($A$32 = "Receive Fixed Swap", ($J$32-$B$26) * $F$32, IF($A$32 = "Zero Cost Collar", ( MAX($J$32 - $B$26, 0) * $F$32 ) + (MAX( $B$26 - $J$33, 0) * $F$33), 0) ) )</f>
        <v>0</v>
      </c>
      <c r="J32" s="310">
        <v>5.4399999999999997E-2</v>
      </c>
    </row>
    <row r="33" spans="1:10">
      <c r="A33" t="s">
        <v>591</v>
      </c>
      <c r="B33" s="295">
        <f>IF($A$32 = "Zero Cost Collar", $B$24, 0)</f>
        <v>0</v>
      </c>
      <c r="C33" s="295">
        <f>IF($A$32 = "Zero Cost Collar", $C$24, 0)</f>
        <v>0</v>
      </c>
      <c r="D33" s="295">
        <f>IF($A$32 = "Zero Cost Collar", $D$15, 0)</f>
        <v>0</v>
      </c>
      <c r="E33" s="355">
        <f>IF($A$32 = "Zero Cost Collar", $B$26 - $B$16 + $B$15, 0)</f>
        <v>0</v>
      </c>
      <c r="F33" s="295">
        <v>0</v>
      </c>
      <c r="G33" s="295">
        <v>0</v>
      </c>
      <c r="H33" s="356">
        <v>0</v>
      </c>
      <c r="I33" s="356"/>
      <c r="J33" s="310">
        <v>0</v>
      </c>
    </row>
    <row r="35" spans="1:10" ht="23.25">
      <c r="A35" s="10" t="s">
        <v>592</v>
      </c>
      <c r="B35" s="10"/>
      <c r="C35" s="10"/>
      <c r="D35" s="10"/>
      <c r="E35" s="10"/>
      <c r="F35" s="10"/>
      <c r="G35" s="10"/>
      <c r="H35" s="10"/>
      <c r="I35" s="10"/>
      <c r="J35" s="10"/>
    </row>
    <row r="36" spans="1:10" ht="23.25">
      <c r="A36" s="10"/>
      <c r="B36" s="370" t="s">
        <v>595</v>
      </c>
      <c r="C36" s="371"/>
      <c r="D36" s="371"/>
      <c r="E36" s="372"/>
      <c r="F36" s="370" t="s">
        <v>594</v>
      </c>
      <c r="G36" s="371"/>
      <c r="H36" s="371"/>
      <c r="I36" s="371"/>
      <c r="J36" s="372"/>
    </row>
    <row r="37" spans="1:10">
      <c r="A37" s="153" t="s">
        <v>570</v>
      </c>
      <c r="B37" s="311" t="s">
        <v>589</v>
      </c>
      <c r="C37" s="311" t="s">
        <v>438</v>
      </c>
      <c r="D37" s="311" t="s">
        <v>440</v>
      </c>
      <c r="E37" s="311" t="s">
        <v>590</v>
      </c>
      <c r="F37" s="311" t="s">
        <v>589</v>
      </c>
      <c r="G37" s="311" t="s">
        <v>438</v>
      </c>
      <c r="H37" s="311" t="s">
        <v>440</v>
      </c>
      <c r="I37" s="311" t="s">
        <v>574</v>
      </c>
      <c r="J37" s="311" t="s">
        <v>590</v>
      </c>
    </row>
    <row r="38" spans="1:10">
      <c r="A38" t="str">
        <f>Dashboard!C24</f>
        <v>Receive Fixed Swap</v>
      </c>
      <c r="B38" s="295">
        <f>IF( A38 = $A23, $B$22, _xlfn.XLOOKUP($A38, $A$20:$A$23,B$20:B$23) )</f>
        <v>320405.7752298445</v>
      </c>
      <c r="C38" s="295">
        <f>_xlfn.XLOOKUP($A$32, $A$20:$A$23,C$20:C$23)</f>
        <v>0</v>
      </c>
      <c r="D38" s="348">
        <f>IF( $A$32 = $A$23, $D$14, _xlfn.XLOOKUP($A$32, $A$13:$A$15,D$13:D$15, 0) )</f>
        <v>1E-4</v>
      </c>
      <c r="E38" s="353">
        <f>($B$26 - $B$16) + IF(A38 = "Zero Cost Collar", $B$14, _xlfn.XLOOKUP($A38,$A$13:$A$15, $B$13:$B$15, B16-B26) )</f>
        <v>5.4399999999999997E-2</v>
      </c>
      <c r="F38" s="295">
        <v>-320405.78000000003</v>
      </c>
      <c r="G38" s="295">
        <v>0</v>
      </c>
      <c r="H38" s="360">
        <v>1E-4</v>
      </c>
      <c r="I38" s="295">
        <f>IF( $A$38 = "Receiver Swaption", MAX($J$38 - $B$26, 0) * $F$38, IF($A$38 = "Receive Fixed Swap", ($J$38-$B$26) * $F$38, IF($A$38 = "Zero Cost Collar", ( MAX($J$38 - $B$26, 0) * $F$38 ) + (MAX( $B$26 - $J$39, 0) * $F$39), 0) ) )</f>
        <v>1602.0289000000016</v>
      </c>
      <c r="J38" s="354">
        <v>4.9399999999999993E-2</v>
      </c>
    </row>
    <row r="39" spans="1:10">
      <c r="A39" t="s">
        <v>591</v>
      </c>
      <c r="B39" s="295">
        <f>IF($A$38 = "Zero Cost Collar", $B$24, 0)</f>
        <v>0</v>
      </c>
      <c r="C39" s="295">
        <f>IF($A$38 = "Zero Cost Collar", $C$24, 0)</f>
        <v>0</v>
      </c>
      <c r="D39" s="295">
        <f>IF(A38 = "Zero Cost Collar", $D$15, 0)</f>
        <v>0</v>
      </c>
      <c r="E39" s="355">
        <f>IF(A38= "Zero Cost Collar", $B$26 - $B$16 + $B$15, 0)</f>
        <v>0</v>
      </c>
      <c r="F39" s="295">
        <v>0</v>
      </c>
      <c r="G39" s="295">
        <v>0</v>
      </c>
      <c r="H39" s="356">
        <v>0</v>
      </c>
      <c r="I39" s="356"/>
      <c r="J39" s="354">
        <v>0</v>
      </c>
    </row>
    <row r="42" spans="1:10">
      <c r="A42" t="s">
        <v>593</v>
      </c>
      <c r="B42"/>
      <c r="C42"/>
      <c r="D42"/>
      <c r="E42"/>
      <c r="F42" s="295">
        <f>SUM(F32:F33,F38:F39)</f>
        <v>-2408199.48</v>
      </c>
      <c r="G42" s="295">
        <f>SUM(G32:G33,G38:G39)</f>
        <v>0</v>
      </c>
      <c r="H42" s="295">
        <f>SUM(H32:H33,H38:H39)</f>
        <v>2.0000000000000001E-4</v>
      </c>
      <c r="I42" s="295">
        <f>SUM(I32:I33,I38:I39)</f>
        <v>1602.0289000000016</v>
      </c>
    </row>
    <row r="43" spans="1:10">
      <c r="A43" t="s">
        <v>596</v>
      </c>
      <c r="B43" s="294">
        <f>(og_bpv * og_np) + (og_bpv_2 * og_np_2) + (H38 * F38) + (H39 * F39)</f>
        <v>-240.81994800000001</v>
      </c>
    </row>
  </sheetData>
  <mergeCells count="4">
    <mergeCell ref="F30:J30"/>
    <mergeCell ref="B30:E30"/>
    <mergeCell ref="B36:E36"/>
    <mergeCell ref="F36:J36"/>
  </mergeCell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D8E3A-5571-4013-98FF-9DC02FB00B99}">
  <sheetPr codeName="Sheet7">
    <tabColor theme="9"/>
  </sheetPr>
  <dimension ref="C2:I127"/>
  <sheetViews>
    <sheetView workbookViewId="0">
      <pane xSplit="3" ySplit="7" topLeftCell="D8" activePane="bottomRight" state="frozen"/>
      <selection pane="topRight" activeCell="D1" sqref="D1"/>
      <selection pane="bottomLeft" activeCell="A7" sqref="A7"/>
      <selection pane="bottomRight" activeCell="D89" sqref="D89"/>
    </sheetView>
  </sheetViews>
  <sheetFormatPr defaultRowHeight="15"/>
  <cols>
    <col min="3" max="3" width="4.7109375" bestFit="1" customWidth="1"/>
    <col min="4" max="4" width="20.42578125" style="145" customWidth="1"/>
    <col min="5" max="5" width="10.85546875" bestFit="1" customWidth="1"/>
    <col min="6" max="6" width="14.85546875" bestFit="1" customWidth="1"/>
    <col min="7" max="7" width="16.7109375" style="145" bestFit="1" customWidth="1"/>
    <col min="8" max="8" width="10.85546875" bestFit="1" customWidth="1"/>
    <col min="9" max="9" width="14.85546875" bestFit="1" customWidth="1"/>
  </cols>
  <sheetData>
    <row r="2" spans="3:9">
      <c r="D2" s="145" t="s">
        <v>486</v>
      </c>
    </row>
    <row r="3" spans="3:9">
      <c r="D3" s="320" t="s">
        <v>487</v>
      </c>
    </row>
    <row r="4" spans="3:9">
      <c r="D4" s="320"/>
    </row>
    <row r="5" spans="3:9">
      <c r="D5" s="320"/>
      <c r="F5" t="s">
        <v>481</v>
      </c>
      <c r="I5" s="325" t="s">
        <v>482</v>
      </c>
    </row>
    <row r="6" spans="3:9">
      <c r="D6" s="373" t="s">
        <v>481</v>
      </c>
      <c r="E6" s="373"/>
      <c r="F6" s="373"/>
      <c r="G6" s="373" t="s">
        <v>482</v>
      </c>
      <c r="H6" s="373"/>
      <c r="I6" s="373"/>
    </row>
    <row r="7" spans="3:9">
      <c r="C7" t="s">
        <v>480</v>
      </c>
      <c r="D7" s="145" t="s">
        <v>484</v>
      </c>
      <c r="E7" t="s">
        <v>483</v>
      </c>
      <c r="F7" t="s">
        <v>485</v>
      </c>
      <c r="G7" s="145" t="s">
        <v>484</v>
      </c>
      <c r="H7" t="s">
        <v>483</v>
      </c>
      <c r="I7" t="s">
        <v>485</v>
      </c>
    </row>
    <row r="8" spans="3:9">
      <c r="C8">
        <v>0</v>
      </c>
      <c r="D8" s="145">
        <v>5.8370000000000002E-3</v>
      </c>
      <c r="E8">
        <v>100000</v>
      </c>
      <c r="F8">
        <v>74.12</v>
      </c>
      <c r="G8" s="145">
        <v>4.9069999999999999E-3</v>
      </c>
      <c r="H8">
        <v>100000</v>
      </c>
      <c r="I8">
        <v>79.78</v>
      </c>
    </row>
    <row r="9" spans="3:9">
      <c r="C9">
        <v>1</v>
      </c>
      <c r="D9" s="145">
        <v>4.0999999999999999E-4</v>
      </c>
      <c r="E9">
        <v>99416</v>
      </c>
      <c r="F9">
        <v>73.55</v>
      </c>
      <c r="G9" s="145">
        <v>3.1599999999999998E-4</v>
      </c>
      <c r="H9">
        <v>99509</v>
      </c>
      <c r="I9">
        <v>79.17</v>
      </c>
    </row>
    <row r="10" spans="3:9">
      <c r="C10">
        <v>2</v>
      </c>
      <c r="D10" s="145">
        <v>2.5399999999999999E-4</v>
      </c>
      <c r="E10">
        <v>99376</v>
      </c>
      <c r="F10">
        <v>72.58</v>
      </c>
      <c r="G10" s="145">
        <v>1.9599999999999999E-4</v>
      </c>
      <c r="H10">
        <v>99478</v>
      </c>
      <c r="I10">
        <v>78.19</v>
      </c>
    </row>
    <row r="11" spans="3:9">
      <c r="C11">
        <v>3</v>
      </c>
      <c r="D11" s="145">
        <v>2.0699999999999999E-4</v>
      </c>
      <c r="E11">
        <v>99350</v>
      </c>
      <c r="F11">
        <v>71.599999999999994</v>
      </c>
      <c r="G11" s="145">
        <v>1.6000000000000001E-4</v>
      </c>
      <c r="H11">
        <v>99458</v>
      </c>
      <c r="I11">
        <v>77.209999999999994</v>
      </c>
    </row>
    <row r="12" spans="3:9">
      <c r="C12">
        <v>4</v>
      </c>
      <c r="D12" s="145">
        <v>1.6699999999999999E-4</v>
      </c>
      <c r="E12">
        <v>99330</v>
      </c>
      <c r="F12">
        <v>70.62</v>
      </c>
      <c r="G12" s="145">
        <v>1.2899999999999999E-4</v>
      </c>
      <c r="H12">
        <v>99442</v>
      </c>
      <c r="I12">
        <v>76.22</v>
      </c>
    </row>
    <row r="13" spans="3:9">
      <c r="C13">
        <v>5</v>
      </c>
      <c r="D13" s="145">
        <v>1.4100000000000001E-4</v>
      </c>
      <c r="E13">
        <v>99313</v>
      </c>
      <c r="F13">
        <v>69.63</v>
      </c>
      <c r="G13" s="145">
        <v>1.0900000000000001E-4</v>
      </c>
      <c r="H13">
        <v>99430</v>
      </c>
      <c r="I13">
        <v>75.23</v>
      </c>
    </row>
    <row r="14" spans="3:9">
      <c r="C14">
        <v>6</v>
      </c>
      <c r="D14" s="145">
        <v>1.2300000000000001E-4</v>
      </c>
      <c r="E14">
        <v>99299</v>
      </c>
      <c r="F14">
        <v>68.64</v>
      </c>
      <c r="G14" s="145">
        <v>1E-4</v>
      </c>
      <c r="H14">
        <v>99419</v>
      </c>
      <c r="I14">
        <v>74.239999999999995</v>
      </c>
    </row>
    <row r="15" spans="3:9">
      <c r="C15">
        <v>7</v>
      </c>
      <c r="D15" s="145">
        <v>1.13E-4</v>
      </c>
      <c r="E15">
        <v>99287</v>
      </c>
      <c r="F15">
        <v>67.650000000000006</v>
      </c>
      <c r="G15" s="145">
        <v>9.6000000000000002E-5</v>
      </c>
      <c r="H15">
        <v>99409</v>
      </c>
      <c r="I15">
        <v>73.25</v>
      </c>
    </row>
    <row r="16" spans="3:9">
      <c r="C16">
        <v>8</v>
      </c>
      <c r="D16" s="145">
        <v>1.08E-4</v>
      </c>
      <c r="E16">
        <v>99276</v>
      </c>
      <c r="F16">
        <v>66.650000000000006</v>
      </c>
      <c r="G16" s="145">
        <v>9.2E-5</v>
      </c>
      <c r="H16">
        <v>99399</v>
      </c>
      <c r="I16">
        <v>72.25</v>
      </c>
    </row>
    <row r="17" spans="3:9">
      <c r="C17">
        <v>9</v>
      </c>
      <c r="D17" s="145">
        <v>1.1400000000000001E-4</v>
      </c>
      <c r="E17">
        <v>99265</v>
      </c>
      <c r="F17">
        <v>65.66</v>
      </c>
      <c r="G17" s="145">
        <v>8.8999999999999995E-5</v>
      </c>
      <c r="H17">
        <v>99390</v>
      </c>
      <c r="I17">
        <v>71.260000000000005</v>
      </c>
    </row>
    <row r="18" spans="3:9">
      <c r="C18">
        <v>10</v>
      </c>
      <c r="D18" s="145">
        <v>1.27E-4</v>
      </c>
      <c r="E18">
        <v>99254</v>
      </c>
      <c r="F18">
        <v>64.67</v>
      </c>
      <c r="G18" s="145">
        <v>9.2E-5</v>
      </c>
      <c r="H18">
        <v>99381</v>
      </c>
      <c r="I18">
        <v>70.27</v>
      </c>
    </row>
    <row r="19" spans="3:9">
      <c r="C19">
        <v>11</v>
      </c>
      <c r="D19" s="145">
        <v>1.46E-4</v>
      </c>
      <c r="E19">
        <v>99241</v>
      </c>
      <c r="F19">
        <v>63.68</v>
      </c>
      <c r="G19" s="145">
        <v>1.0399999999999999E-4</v>
      </c>
      <c r="H19">
        <v>99372</v>
      </c>
      <c r="I19">
        <v>69.27</v>
      </c>
    </row>
    <row r="20" spans="3:9">
      <c r="C20">
        <v>12</v>
      </c>
      <c r="D20" s="145">
        <v>1.74E-4</v>
      </c>
      <c r="E20">
        <v>99227</v>
      </c>
      <c r="F20">
        <v>62.69</v>
      </c>
      <c r="G20" s="145">
        <v>1.2300000000000001E-4</v>
      </c>
      <c r="H20">
        <v>99362</v>
      </c>
      <c r="I20">
        <v>68.28</v>
      </c>
    </row>
    <row r="21" spans="3:9">
      <c r="C21">
        <v>13</v>
      </c>
      <c r="D21" s="145">
        <v>2.2800000000000001E-4</v>
      </c>
      <c r="E21">
        <v>99209</v>
      </c>
      <c r="F21">
        <v>61.7</v>
      </c>
      <c r="G21" s="145">
        <v>1.45E-4</v>
      </c>
      <c r="H21">
        <v>99349</v>
      </c>
      <c r="I21">
        <v>67.290000000000006</v>
      </c>
    </row>
    <row r="22" spans="3:9">
      <c r="C22">
        <v>14</v>
      </c>
      <c r="D22" s="145">
        <v>3.1199999999999999E-4</v>
      </c>
      <c r="E22">
        <v>99187</v>
      </c>
      <c r="F22">
        <v>60.71</v>
      </c>
      <c r="G22" s="145">
        <v>1.73E-4</v>
      </c>
      <c r="H22">
        <v>99335</v>
      </c>
      <c r="I22">
        <v>66.3</v>
      </c>
    </row>
    <row r="23" spans="3:9">
      <c r="C23">
        <v>15</v>
      </c>
      <c r="D23" s="145">
        <v>4.35E-4</v>
      </c>
      <c r="E23">
        <v>99156</v>
      </c>
      <c r="F23">
        <v>59.73</v>
      </c>
      <c r="G23" s="145">
        <v>2.1000000000000001E-4</v>
      </c>
      <c r="H23">
        <v>99318</v>
      </c>
      <c r="I23">
        <v>65.31</v>
      </c>
    </row>
    <row r="24" spans="3:9">
      <c r="C24">
        <v>16</v>
      </c>
      <c r="D24" s="145">
        <v>6.0400000000000004E-4</v>
      </c>
      <c r="E24">
        <v>99113</v>
      </c>
      <c r="F24">
        <v>58.76</v>
      </c>
      <c r="G24" s="145">
        <v>2.5700000000000001E-4</v>
      </c>
      <c r="H24">
        <v>99297</v>
      </c>
      <c r="I24">
        <v>64.319999999999993</v>
      </c>
    </row>
    <row r="25" spans="3:9">
      <c r="C25">
        <v>17</v>
      </c>
      <c r="D25" s="145">
        <v>8.1400000000000005E-4</v>
      </c>
      <c r="E25">
        <v>99053</v>
      </c>
      <c r="F25">
        <v>57.79</v>
      </c>
      <c r="G25" s="145">
        <v>3.1399999999999999E-4</v>
      </c>
      <c r="H25">
        <v>99271</v>
      </c>
      <c r="I25">
        <v>63.34</v>
      </c>
    </row>
    <row r="26" spans="3:9">
      <c r="C26">
        <v>18</v>
      </c>
      <c r="D26" s="145">
        <v>1.0510000000000001E-3</v>
      </c>
      <c r="E26">
        <v>98972</v>
      </c>
      <c r="F26">
        <v>56.84</v>
      </c>
      <c r="G26" s="145">
        <v>3.8400000000000001E-4</v>
      </c>
      <c r="H26">
        <v>99240</v>
      </c>
      <c r="I26">
        <v>62.36</v>
      </c>
    </row>
    <row r="27" spans="3:9">
      <c r="C27">
        <v>19</v>
      </c>
      <c r="D27" s="145">
        <v>1.25E-3</v>
      </c>
      <c r="E27">
        <v>98868</v>
      </c>
      <c r="F27">
        <v>55.9</v>
      </c>
      <c r="G27" s="145">
        <v>4.4000000000000002E-4</v>
      </c>
      <c r="H27">
        <v>99202</v>
      </c>
      <c r="I27">
        <v>61.38</v>
      </c>
    </row>
    <row r="28" spans="3:9">
      <c r="C28">
        <v>20</v>
      </c>
      <c r="D28" s="145">
        <v>1.3979999999999999E-3</v>
      </c>
      <c r="E28">
        <v>98745</v>
      </c>
      <c r="F28">
        <v>54.97</v>
      </c>
      <c r="G28" s="145">
        <v>4.8500000000000003E-4</v>
      </c>
      <c r="H28">
        <v>99159</v>
      </c>
      <c r="I28">
        <v>60.41</v>
      </c>
    </row>
    <row r="29" spans="3:9">
      <c r="C29">
        <v>21</v>
      </c>
      <c r="D29" s="145">
        <v>1.524E-3</v>
      </c>
      <c r="E29">
        <v>98607</v>
      </c>
      <c r="F29">
        <v>54.04</v>
      </c>
      <c r="G29" s="145">
        <v>5.3300000000000005E-4</v>
      </c>
      <c r="H29">
        <v>99111</v>
      </c>
      <c r="I29">
        <v>59.44</v>
      </c>
    </row>
    <row r="30" spans="3:9">
      <c r="C30">
        <v>22</v>
      </c>
      <c r="D30" s="145">
        <v>1.6119999999999999E-3</v>
      </c>
      <c r="E30">
        <v>98456</v>
      </c>
      <c r="F30">
        <v>53.12</v>
      </c>
      <c r="G30" s="145">
        <v>5.7399999999999997E-4</v>
      </c>
      <c r="H30">
        <v>99058</v>
      </c>
      <c r="I30">
        <v>58.47</v>
      </c>
    </row>
    <row r="31" spans="3:9">
      <c r="C31">
        <v>23</v>
      </c>
      <c r="D31" s="145">
        <v>1.6819999999999999E-3</v>
      </c>
      <c r="E31">
        <v>98298</v>
      </c>
      <c r="F31">
        <v>52.21</v>
      </c>
      <c r="G31" s="145">
        <v>6.1700000000000004E-4</v>
      </c>
      <c r="H31">
        <v>99001</v>
      </c>
      <c r="I31">
        <v>57.5</v>
      </c>
    </row>
    <row r="32" spans="3:9">
      <c r="C32">
        <v>24</v>
      </c>
      <c r="D32" s="145">
        <v>1.7470000000000001E-3</v>
      </c>
      <c r="E32">
        <v>98132</v>
      </c>
      <c r="F32">
        <v>51.3</v>
      </c>
      <c r="G32" s="145">
        <v>6.5499999999999998E-4</v>
      </c>
      <c r="H32">
        <v>98940</v>
      </c>
      <c r="I32">
        <v>56.54</v>
      </c>
    </row>
    <row r="33" spans="3:9">
      <c r="C33">
        <v>25</v>
      </c>
      <c r="D33" s="145">
        <v>1.812E-3</v>
      </c>
      <c r="E33">
        <v>97961</v>
      </c>
      <c r="F33">
        <v>50.39</v>
      </c>
      <c r="G33" s="145">
        <v>6.9999999999999999E-4</v>
      </c>
      <c r="H33">
        <v>98875</v>
      </c>
      <c r="I33">
        <v>55.58</v>
      </c>
    </row>
    <row r="34" spans="3:9">
      <c r="C34">
        <v>26</v>
      </c>
      <c r="D34" s="145">
        <v>1.884E-3</v>
      </c>
      <c r="E34">
        <v>97783</v>
      </c>
      <c r="F34">
        <v>49.48</v>
      </c>
      <c r="G34" s="145">
        <v>7.4299999999999995E-4</v>
      </c>
      <c r="H34">
        <v>98806</v>
      </c>
      <c r="I34">
        <v>54.61</v>
      </c>
    </row>
    <row r="35" spans="3:9">
      <c r="C35">
        <v>27</v>
      </c>
      <c r="D35" s="145">
        <v>1.9740000000000001E-3</v>
      </c>
      <c r="E35">
        <v>97599</v>
      </c>
      <c r="F35">
        <v>48.57</v>
      </c>
      <c r="G35" s="145">
        <v>7.9600000000000005E-4</v>
      </c>
      <c r="H35">
        <v>98732</v>
      </c>
      <c r="I35">
        <v>53.66</v>
      </c>
    </row>
    <row r="36" spans="3:9">
      <c r="C36">
        <v>28</v>
      </c>
      <c r="D36" s="145">
        <v>2.0699999999999998E-3</v>
      </c>
      <c r="E36">
        <v>97406</v>
      </c>
      <c r="F36">
        <v>47.66</v>
      </c>
      <c r="G36" s="145">
        <v>8.5099999999999998E-4</v>
      </c>
      <c r="H36">
        <v>98654</v>
      </c>
      <c r="I36">
        <v>52.7</v>
      </c>
    </row>
    <row r="37" spans="3:9">
      <c r="C37">
        <v>29</v>
      </c>
      <c r="D37" s="145">
        <v>2.1719999999999999E-3</v>
      </c>
      <c r="E37">
        <v>97205</v>
      </c>
      <c r="F37">
        <v>46.76</v>
      </c>
      <c r="G37" s="145">
        <v>9.1399999999999999E-4</v>
      </c>
      <c r="H37">
        <v>98570</v>
      </c>
      <c r="I37">
        <v>51.74</v>
      </c>
    </row>
    <row r="38" spans="3:9">
      <c r="C38">
        <v>30</v>
      </c>
      <c r="D38" s="145">
        <v>2.2750000000000001E-3</v>
      </c>
      <c r="E38">
        <v>96994</v>
      </c>
      <c r="F38">
        <v>45.86</v>
      </c>
      <c r="G38" s="145">
        <v>9.7599999999999998E-4</v>
      </c>
      <c r="H38">
        <v>98480</v>
      </c>
      <c r="I38">
        <v>50.79</v>
      </c>
    </row>
    <row r="39" spans="3:9">
      <c r="C39">
        <v>31</v>
      </c>
      <c r="D39" s="145">
        <v>2.3679999999999999E-3</v>
      </c>
      <c r="E39">
        <v>96773</v>
      </c>
      <c r="F39">
        <v>44.97</v>
      </c>
      <c r="G39" s="145">
        <v>1.041E-3</v>
      </c>
      <c r="H39">
        <v>98383</v>
      </c>
      <c r="I39">
        <v>49.84</v>
      </c>
    </row>
    <row r="40" spans="3:9">
      <c r="C40">
        <v>32</v>
      </c>
      <c r="D40" s="145">
        <v>2.441E-3</v>
      </c>
      <c r="E40">
        <v>96544</v>
      </c>
      <c r="F40">
        <v>44.07</v>
      </c>
      <c r="G40" s="145">
        <v>1.1180000000000001E-3</v>
      </c>
      <c r="H40">
        <v>98281</v>
      </c>
      <c r="I40">
        <v>48.89</v>
      </c>
    </row>
    <row r="41" spans="3:9">
      <c r="C41">
        <v>33</v>
      </c>
      <c r="D41" s="145">
        <v>2.5170000000000001E-3</v>
      </c>
      <c r="E41">
        <v>96308</v>
      </c>
      <c r="F41">
        <v>43.18</v>
      </c>
      <c r="G41" s="145">
        <v>1.186E-3</v>
      </c>
      <c r="H41">
        <v>98171</v>
      </c>
      <c r="I41">
        <v>47.94</v>
      </c>
    </row>
    <row r="42" spans="3:9">
      <c r="C42">
        <v>34</v>
      </c>
      <c r="D42" s="145">
        <v>2.5899999999999999E-3</v>
      </c>
      <c r="E42">
        <v>96066</v>
      </c>
      <c r="F42">
        <v>42.29</v>
      </c>
      <c r="G42" s="145">
        <v>1.2409999999999999E-3</v>
      </c>
      <c r="H42">
        <v>98055</v>
      </c>
      <c r="I42">
        <v>47</v>
      </c>
    </row>
    <row r="43" spans="3:9">
      <c r="C43">
        <v>35</v>
      </c>
      <c r="D43" s="145">
        <v>2.673E-3</v>
      </c>
      <c r="E43">
        <v>95817</v>
      </c>
      <c r="F43">
        <v>41.39</v>
      </c>
      <c r="G43" s="145">
        <v>1.3060000000000001E-3</v>
      </c>
      <c r="H43">
        <v>97933</v>
      </c>
      <c r="I43">
        <v>46.06</v>
      </c>
    </row>
    <row r="44" spans="3:9">
      <c r="C44">
        <v>36</v>
      </c>
      <c r="D44" s="145">
        <v>2.7910000000000001E-3</v>
      </c>
      <c r="E44">
        <v>95561</v>
      </c>
      <c r="F44">
        <v>40.5</v>
      </c>
      <c r="G44" s="145">
        <v>1.3860000000000001E-3</v>
      </c>
      <c r="H44">
        <v>97805</v>
      </c>
      <c r="I44">
        <v>45.12</v>
      </c>
    </row>
    <row r="45" spans="3:9">
      <c r="C45">
        <v>37</v>
      </c>
      <c r="D45" s="145">
        <v>2.9229999999999998E-3</v>
      </c>
      <c r="E45">
        <v>95294</v>
      </c>
      <c r="F45">
        <v>39.619999999999997</v>
      </c>
      <c r="G45" s="145">
        <v>1.472E-3</v>
      </c>
      <c r="H45">
        <v>97670</v>
      </c>
      <c r="I45">
        <v>44.18</v>
      </c>
    </row>
    <row r="46" spans="3:9">
      <c r="C46">
        <v>38</v>
      </c>
      <c r="D46" s="145">
        <v>3.0539999999999999E-3</v>
      </c>
      <c r="E46">
        <v>95016</v>
      </c>
      <c r="F46">
        <v>38.729999999999997</v>
      </c>
      <c r="G46" s="145">
        <v>1.549E-3</v>
      </c>
      <c r="H46">
        <v>97526</v>
      </c>
      <c r="I46">
        <v>43.24</v>
      </c>
    </row>
    <row r="47" spans="3:9">
      <c r="C47">
        <v>39</v>
      </c>
      <c r="D47" s="145">
        <v>3.2070000000000002E-3</v>
      </c>
      <c r="E47">
        <v>94725</v>
      </c>
      <c r="F47">
        <v>37.85</v>
      </c>
      <c r="G47" s="145">
        <v>1.637E-3</v>
      </c>
      <c r="H47">
        <v>97375</v>
      </c>
      <c r="I47">
        <v>42.31</v>
      </c>
    </row>
    <row r="48" spans="3:9">
      <c r="C48">
        <v>40</v>
      </c>
      <c r="D48" s="145">
        <v>3.333E-3</v>
      </c>
      <c r="E48">
        <v>94422</v>
      </c>
      <c r="F48">
        <v>36.97</v>
      </c>
      <c r="G48" s="145">
        <v>1.735E-3</v>
      </c>
      <c r="H48">
        <v>97215</v>
      </c>
      <c r="I48">
        <v>41.38</v>
      </c>
    </row>
    <row r="49" spans="3:9">
      <c r="C49">
        <v>41</v>
      </c>
      <c r="D49" s="145">
        <v>3.4640000000000001E-3</v>
      </c>
      <c r="E49">
        <v>94107</v>
      </c>
      <c r="F49">
        <v>36.090000000000003</v>
      </c>
      <c r="G49" s="145">
        <v>1.8500000000000001E-3</v>
      </c>
      <c r="H49">
        <v>97047</v>
      </c>
      <c r="I49">
        <v>40.450000000000003</v>
      </c>
    </row>
    <row r="50" spans="3:9">
      <c r="C50">
        <v>42</v>
      </c>
      <c r="D50" s="145">
        <v>3.5869999999999999E-3</v>
      </c>
      <c r="E50">
        <v>93781</v>
      </c>
      <c r="F50">
        <v>35.21</v>
      </c>
      <c r="G50" s="145">
        <v>1.9499999999999999E-3</v>
      </c>
      <c r="H50">
        <v>96867</v>
      </c>
      <c r="I50">
        <v>39.520000000000003</v>
      </c>
    </row>
    <row r="51" spans="3:9">
      <c r="C51">
        <v>43</v>
      </c>
      <c r="D51" s="145">
        <v>3.735E-3</v>
      </c>
      <c r="E51">
        <v>93445</v>
      </c>
      <c r="F51">
        <v>34.340000000000003</v>
      </c>
      <c r="G51" s="145">
        <v>2.0720000000000001E-3</v>
      </c>
      <c r="H51">
        <v>96678</v>
      </c>
      <c r="I51">
        <v>38.6</v>
      </c>
    </row>
    <row r="52" spans="3:9">
      <c r="C52">
        <v>44</v>
      </c>
      <c r="D52" s="145">
        <v>3.9110000000000004E-3</v>
      </c>
      <c r="E52">
        <v>93096</v>
      </c>
      <c r="F52">
        <v>33.46</v>
      </c>
      <c r="G52" s="145">
        <v>2.2169999999999998E-3</v>
      </c>
      <c r="H52">
        <v>96478</v>
      </c>
      <c r="I52">
        <v>37.68</v>
      </c>
    </row>
    <row r="53" spans="3:9">
      <c r="C53">
        <v>45</v>
      </c>
      <c r="D53" s="145">
        <v>4.1370000000000001E-3</v>
      </c>
      <c r="E53">
        <v>92732</v>
      </c>
      <c r="F53">
        <v>32.590000000000003</v>
      </c>
      <c r="G53" s="145">
        <v>2.3830000000000001E-3</v>
      </c>
      <c r="H53">
        <v>96264</v>
      </c>
      <c r="I53">
        <v>36.76</v>
      </c>
    </row>
    <row r="54" spans="3:9">
      <c r="C54">
        <v>46</v>
      </c>
      <c r="D54" s="145">
        <v>4.4520000000000002E-3</v>
      </c>
      <c r="E54">
        <v>92348</v>
      </c>
      <c r="F54">
        <v>31.73</v>
      </c>
      <c r="G54" s="145">
        <v>2.5730000000000002E-3</v>
      </c>
      <c r="H54">
        <v>96035</v>
      </c>
      <c r="I54">
        <v>35.85</v>
      </c>
    </row>
    <row r="55" spans="3:9">
      <c r="C55">
        <v>47</v>
      </c>
      <c r="D55" s="145">
        <v>4.823E-3</v>
      </c>
      <c r="E55">
        <v>91937</v>
      </c>
      <c r="F55">
        <v>30.87</v>
      </c>
      <c r="G55" s="145">
        <v>2.777E-3</v>
      </c>
      <c r="H55">
        <v>95788</v>
      </c>
      <c r="I55">
        <v>34.94</v>
      </c>
    </row>
    <row r="56" spans="3:9">
      <c r="C56">
        <v>48</v>
      </c>
      <c r="D56" s="145">
        <v>5.2139999999999999E-3</v>
      </c>
      <c r="E56">
        <v>91493</v>
      </c>
      <c r="F56">
        <v>30.01</v>
      </c>
      <c r="G56" s="145">
        <v>2.9840000000000001E-3</v>
      </c>
      <c r="H56">
        <v>95522</v>
      </c>
      <c r="I56">
        <v>34.04</v>
      </c>
    </row>
    <row r="57" spans="3:9">
      <c r="C57">
        <v>49</v>
      </c>
      <c r="D57" s="145">
        <v>5.594E-3</v>
      </c>
      <c r="E57">
        <v>91016</v>
      </c>
      <c r="F57">
        <v>29.17</v>
      </c>
      <c r="G57" s="145">
        <v>3.2100000000000002E-3</v>
      </c>
      <c r="H57">
        <v>95237</v>
      </c>
      <c r="I57">
        <v>33.14</v>
      </c>
    </row>
    <row r="58" spans="3:9">
      <c r="C58">
        <v>50</v>
      </c>
      <c r="D58" s="145">
        <v>5.9979999999999999E-3</v>
      </c>
      <c r="E58">
        <v>90507</v>
      </c>
      <c r="F58">
        <v>28.33</v>
      </c>
      <c r="G58" s="145">
        <v>3.4759999999999999E-3</v>
      </c>
      <c r="H58">
        <v>94931</v>
      </c>
      <c r="I58">
        <v>32.24</v>
      </c>
    </row>
    <row r="59" spans="3:9">
      <c r="C59">
        <v>51</v>
      </c>
      <c r="D59" s="145">
        <v>6.4999999999999997E-3</v>
      </c>
      <c r="E59">
        <v>89964</v>
      </c>
      <c r="F59">
        <v>27.5</v>
      </c>
      <c r="G59" s="145">
        <v>3.7929999999999999E-3</v>
      </c>
      <c r="H59">
        <v>94601</v>
      </c>
      <c r="I59">
        <v>31.35</v>
      </c>
    </row>
    <row r="60" spans="3:9">
      <c r="C60">
        <v>52</v>
      </c>
      <c r="D60" s="145">
        <v>7.0809999999999996E-3</v>
      </c>
      <c r="E60">
        <v>89380</v>
      </c>
      <c r="F60">
        <v>26.67</v>
      </c>
      <c r="G60" s="145">
        <v>4.1359999999999999E-3</v>
      </c>
      <c r="H60">
        <v>94242</v>
      </c>
      <c r="I60">
        <v>30.47</v>
      </c>
    </row>
    <row r="61" spans="3:9">
      <c r="C61">
        <v>53</v>
      </c>
      <c r="D61" s="145">
        <v>7.711E-3</v>
      </c>
      <c r="E61">
        <v>88747</v>
      </c>
      <c r="F61">
        <v>25.86</v>
      </c>
      <c r="G61" s="145">
        <v>4.4949999999999999E-3</v>
      </c>
      <c r="H61">
        <v>93852</v>
      </c>
      <c r="I61">
        <v>29.59</v>
      </c>
    </row>
    <row r="62" spans="3:9">
      <c r="C62">
        <v>54</v>
      </c>
      <c r="D62" s="145">
        <v>8.3940000000000004E-3</v>
      </c>
      <c r="E62">
        <v>88062</v>
      </c>
      <c r="F62">
        <v>25.06</v>
      </c>
      <c r="G62" s="145">
        <v>4.8700000000000002E-3</v>
      </c>
      <c r="H62">
        <v>93430</v>
      </c>
      <c r="I62">
        <v>28.72</v>
      </c>
    </row>
    <row r="63" spans="3:9">
      <c r="C63">
        <v>55</v>
      </c>
      <c r="D63" s="145">
        <v>9.1090000000000008E-3</v>
      </c>
      <c r="E63">
        <v>87323</v>
      </c>
      <c r="F63">
        <v>24.27</v>
      </c>
      <c r="G63" s="145">
        <v>5.2610000000000001E-3</v>
      </c>
      <c r="H63">
        <v>92975</v>
      </c>
      <c r="I63">
        <v>27.86</v>
      </c>
    </row>
    <row r="64" spans="3:9">
      <c r="C64">
        <v>56</v>
      </c>
      <c r="D64" s="145">
        <v>9.8809999999999992E-3</v>
      </c>
      <c r="E64">
        <v>86528</v>
      </c>
      <c r="F64">
        <v>23.48</v>
      </c>
      <c r="G64" s="145">
        <v>5.7140000000000003E-3</v>
      </c>
      <c r="H64">
        <v>92486</v>
      </c>
      <c r="I64">
        <v>27.01</v>
      </c>
    </row>
    <row r="65" spans="3:9">
      <c r="C65">
        <v>57</v>
      </c>
      <c r="D65" s="145">
        <v>1.0687E-2</v>
      </c>
      <c r="E65">
        <v>85673</v>
      </c>
      <c r="F65">
        <v>22.71</v>
      </c>
      <c r="G65" s="145">
        <v>6.2269999999999999E-3</v>
      </c>
      <c r="H65">
        <v>91958</v>
      </c>
      <c r="I65">
        <v>26.16</v>
      </c>
    </row>
    <row r="66" spans="3:9">
      <c r="C66">
        <v>58</v>
      </c>
      <c r="D66" s="145">
        <v>1.1566E-2</v>
      </c>
      <c r="E66">
        <v>84757</v>
      </c>
      <c r="F66">
        <v>21.95</v>
      </c>
      <c r="G66" s="145">
        <v>6.7520000000000002E-3</v>
      </c>
      <c r="H66">
        <v>91385</v>
      </c>
      <c r="I66">
        <v>25.32</v>
      </c>
    </row>
    <row r="67" spans="3:9">
      <c r="C67">
        <v>59</v>
      </c>
      <c r="D67" s="145">
        <v>1.2496999999999999E-2</v>
      </c>
      <c r="E67">
        <v>83777</v>
      </c>
      <c r="F67">
        <v>21.21</v>
      </c>
      <c r="G67" s="145">
        <v>7.3270000000000002E-3</v>
      </c>
      <c r="H67">
        <v>90768</v>
      </c>
      <c r="I67">
        <v>24.49</v>
      </c>
    </row>
    <row r="68" spans="3:9">
      <c r="C68">
        <v>60</v>
      </c>
      <c r="D68" s="145">
        <v>1.3485E-2</v>
      </c>
      <c r="E68">
        <v>82730</v>
      </c>
      <c r="F68">
        <v>20.47</v>
      </c>
      <c r="G68" s="145">
        <v>7.9260000000000008E-3</v>
      </c>
      <c r="H68">
        <v>90103</v>
      </c>
      <c r="I68">
        <v>23.67</v>
      </c>
    </row>
    <row r="69" spans="3:9">
      <c r="C69">
        <v>61</v>
      </c>
      <c r="D69" s="145">
        <v>1.4595E-2</v>
      </c>
      <c r="E69">
        <v>81614</v>
      </c>
      <c r="F69">
        <v>19.739999999999998</v>
      </c>
      <c r="G69" s="145">
        <v>8.5439999999999995E-3</v>
      </c>
      <c r="H69">
        <v>89389</v>
      </c>
      <c r="I69">
        <v>22.85</v>
      </c>
    </row>
    <row r="70" spans="3:9">
      <c r="C70">
        <v>62</v>
      </c>
      <c r="D70" s="145">
        <v>1.5702000000000001E-2</v>
      </c>
      <c r="E70">
        <v>80423</v>
      </c>
      <c r="F70">
        <v>19.03</v>
      </c>
      <c r="G70" s="145">
        <v>9.1730000000000006E-3</v>
      </c>
      <c r="H70">
        <v>88625</v>
      </c>
      <c r="I70">
        <v>22.04</v>
      </c>
    </row>
    <row r="71" spans="3:9">
      <c r="C71">
        <v>63</v>
      </c>
      <c r="D71" s="145">
        <v>1.6836E-2</v>
      </c>
      <c r="E71">
        <v>79160</v>
      </c>
      <c r="F71">
        <v>18.32</v>
      </c>
      <c r="G71" s="145">
        <v>9.8410000000000008E-3</v>
      </c>
      <c r="H71">
        <v>87812</v>
      </c>
      <c r="I71">
        <v>21.24</v>
      </c>
    </row>
    <row r="72" spans="3:9">
      <c r="C72">
        <v>64</v>
      </c>
      <c r="D72" s="145">
        <v>1.7908E-2</v>
      </c>
      <c r="E72">
        <v>77828</v>
      </c>
      <c r="F72">
        <v>17.63</v>
      </c>
      <c r="G72" s="145">
        <v>1.0529E-2</v>
      </c>
      <c r="H72">
        <v>86948</v>
      </c>
      <c r="I72">
        <v>20.45</v>
      </c>
    </row>
    <row r="73" spans="3:9">
      <c r="C73">
        <v>65</v>
      </c>
      <c r="D73" s="145">
        <v>1.8943000000000002E-2</v>
      </c>
      <c r="E73">
        <v>76434</v>
      </c>
      <c r="F73">
        <v>16.940000000000001</v>
      </c>
      <c r="G73" s="145">
        <v>1.1265000000000001E-2</v>
      </c>
      <c r="H73">
        <v>86032</v>
      </c>
      <c r="I73">
        <v>19.66</v>
      </c>
    </row>
    <row r="74" spans="3:9">
      <c r="C74">
        <v>66</v>
      </c>
      <c r="D74" s="145">
        <v>2.0102999999999999E-2</v>
      </c>
      <c r="E74">
        <v>74986</v>
      </c>
      <c r="F74">
        <v>16.260000000000002</v>
      </c>
      <c r="G74" s="145">
        <v>1.2069E-2</v>
      </c>
      <c r="H74">
        <v>85063</v>
      </c>
      <c r="I74">
        <v>18.88</v>
      </c>
    </row>
    <row r="75" spans="3:9">
      <c r="C75">
        <v>67</v>
      </c>
      <c r="D75" s="145">
        <v>2.1344999999999999E-2</v>
      </c>
      <c r="E75">
        <v>73479</v>
      </c>
      <c r="F75">
        <v>15.58</v>
      </c>
      <c r="G75" s="145">
        <v>1.2988E-2</v>
      </c>
      <c r="H75">
        <v>84037</v>
      </c>
      <c r="I75">
        <v>18.100000000000001</v>
      </c>
    </row>
    <row r="76" spans="3:9">
      <c r="C76">
        <v>68</v>
      </c>
      <c r="D76" s="145">
        <v>2.2749999999999999E-2</v>
      </c>
      <c r="E76">
        <v>71910</v>
      </c>
      <c r="F76">
        <v>14.91</v>
      </c>
      <c r="G76" s="145">
        <v>1.4031999999999999E-2</v>
      </c>
      <c r="H76">
        <v>82945</v>
      </c>
      <c r="I76">
        <v>17.34</v>
      </c>
    </row>
    <row r="77" spans="3:9">
      <c r="C77">
        <v>69</v>
      </c>
      <c r="D77" s="145">
        <v>2.4324999999999999E-2</v>
      </c>
      <c r="E77">
        <v>70274</v>
      </c>
      <c r="F77">
        <v>14.24</v>
      </c>
      <c r="G77" s="145">
        <v>1.5217E-2</v>
      </c>
      <c r="H77">
        <v>81781</v>
      </c>
      <c r="I77">
        <v>16.579999999999998</v>
      </c>
    </row>
    <row r="78" spans="3:9">
      <c r="C78">
        <v>70</v>
      </c>
      <c r="D78" s="145">
        <v>2.6137000000000001E-2</v>
      </c>
      <c r="E78">
        <v>68565</v>
      </c>
      <c r="F78">
        <v>13.59</v>
      </c>
      <c r="G78" s="145">
        <v>1.6633999999999999E-2</v>
      </c>
      <c r="H78">
        <v>80537</v>
      </c>
      <c r="I78">
        <v>15.82</v>
      </c>
    </row>
    <row r="79" spans="3:9">
      <c r="C79">
        <v>71</v>
      </c>
      <c r="D79" s="145">
        <v>2.8125000000000001E-2</v>
      </c>
      <c r="E79">
        <v>66773</v>
      </c>
      <c r="F79">
        <v>12.94</v>
      </c>
      <c r="G79" s="145">
        <v>1.8294000000000001E-2</v>
      </c>
      <c r="H79">
        <v>79197</v>
      </c>
      <c r="I79">
        <v>15.08</v>
      </c>
    </row>
    <row r="80" spans="3:9">
      <c r="C80">
        <v>72</v>
      </c>
      <c r="D80" s="145">
        <v>3.0438E-2</v>
      </c>
      <c r="E80">
        <v>64895</v>
      </c>
      <c r="F80">
        <v>12.3</v>
      </c>
      <c r="G80" s="145">
        <v>2.0174999999999998E-2</v>
      </c>
      <c r="H80">
        <v>77748</v>
      </c>
      <c r="I80">
        <v>14.36</v>
      </c>
    </row>
    <row r="81" spans="3:9">
      <c r="C81">
        <v>73</v>
      </c>
      <c r="D81" s="145">
        <v>3.3249000000000001E-2</v>
      </c>
      <c r="E81">
        <v>62919</v>
      </c>
      <c r="F81">
        <v>11.67</v>
      </c>
      <c r="G81" s="145">
        <v>2.2321000000000001E-2</v>
      </c>
      <c r="H81">
        <v>76180</v>
      </c>
      <c r="I81">
        <v>13.64</v>
      </c>
    </row>
    <row r="82" spans="3:9">
      <c r="C82">
        <v>74</v>
      </c>
      <c r="D82" s="145">
        <v>3.6975000000000001E-2</v>
      </c>
      <c r="E82">
        <v>60827</v>
      </c>
      <c r="F82">
        <v>11.05</v>
      </c>
      <c r="G82" s="145">
        <v>2.503E-2</v>
      </c>
      <c r="H82">
        <v>74479</v>
      </c>
      <c r="I82">
        <v>12.94</v>
      </c>
    </row>
    <row r="83" spans="3:9">
      <c r="C83">
        <v>75</v>
      </c>
      <c r="D83" s="145">
        <v>4.0633000000000002E-2</v>
      </c>
      <c r="E83">
        <v>58578</v>
      </c>
      <c r="F83">
        <v>10.46</v>
      </c>
      <c r="G83" s="145">
        <v>2.7715E-2</v>
      </c>
      <c r="H83">
        <v>72615</v>
      </c>
      <c r="I83">
        <v>12.26</v>
      </c>
    </row>
    <row r="84" spans="3:9">
      <c r="C84">
        <v>76</v>
      </c>
      <c r="D84" s="145">
        <v>4.471E-2</v>
      </c>
      <c r="E84">
        <v>56198</v>
      </c>
      <c r="F84">
        <v>9.8800000000000008</v>
      </c>
      <c r="G84" s="145">
        <v>3.0630999999999999E-2</v>
      </c>
      <c r="H84">
        <v>70603</v>
      </c>
      <c r="I84">
        <v>11.6</v>
      </c>
    </row>
    <row r="85" spans="3:9">
      <c r="C85">
        <v>77</v>
      </c>
      <c r="D85" s="145">
        <v>4.9152000000000001E-2</v>
      </c>
      <c r="E85">
        <v>53685</v>
      </c>
      <c r="F85">
        <v>9.32</v>
      </c>
      <c r="G85" s="145">
        <v>3.39E-2</v>
      </c>
      <c r="H85">
        <v>68440</v>
      </c>
      <c r="I85">
        <v>10.95</v>
      </c>
    </row>
    <row r="86" spans="3:9">
      <c r="C86">
        <v>78</v>
      </c>
      <c r="D86" s="145">
        <v>5.4265000000000001E-2</v>
      </c>
      <c r="E86">
        <v>51047</v>
      </c>
      <c r="F86">
        <v>8.77</v>
      </c>
      <c r="G86" s="145">
        <v>3.7830999999999997E-2</v>
      </c>
      <c r="H86">
        <v>66120</v>
      </c>
      <c r="I86">
        <v>10.31</v>
      </c>
    </row>
    <row r="87" spans="3:9">
      <c r="C87">
        <v>79</v>
      </c>
      <c r="D87" s="145">
        <v>5.9658000000000003E-2</v>
      </c>
      <c r="E87">
        <v>48277</v>
      </c>
      <c r="F87">
        <v>8.25</v>
      </c>
      <c r="G87" s="145">
        <v>4.2249000000000002E-2</v>
      </c>
      <c r="H87">
        <v>63618</v>
      </c>
      <c r="I87">
        <v>9.6999999999999993</v>
      </c>
    </row>
    <row r="88" spans="3:9">
      <c r="C88">
        <v>80</v>
      </c>
      <c r="D88" s="145">
        <v>6.5568000000000001E-2</v>
      </c>
      <c r="E88">
        <v>45397</v>
      </c>
      <c r="F88">
        <v>7.74</v>
      </c>
      <c r="G88" s="145">
        <v>4.7148000000000002E-2</v>
      </c>
      <c r="H88">
        <v>60931</v>
      </c>
      <c r="I88">
        <v>9.1</v>
      </c>
    </row>
    <row r="89" spans="3:9">
      <c r="C89">
        <v>81</v>
      </c>
      <c r="D89" s="145">
        <v>7.213E-2</v>
      </c>
      <c r="E89">
        <v>42420</v>
      </c>
      <c r="F89">
        <v>7.25</v>
      </c>
      <c r="G89" s="145">
        <v>5.2545000000000001E-2</v>
      </c>
      <c r="H89">
        <v>58058</v>
      </c>
      <c r="I89">
        <v>8.5299999999999994</v>
      </c>
    </row>
    <row r="90" spans="3:9">
      <c r="C90">
        <v>82</v>
      </c>
      <c r="D90" s="145">
        <v>7.9690999999999998E-2</v>
      </c>
      <c r="E90">
        <v>39360</v>
      </c>
      <c r="F90">
        <v>6.77</v>
      </c>
      <c r="G90" s="145">
        <v>5.8685000000000001E-2</v>
      </c>
      <c r="H90">
        <v>55007</v>
      </c>
      <c r="I90">
        <v>7.98</v>
      </c>
    </row>
    <row r="91" spans="3:9">
      <c r="C91">
        <v>83</v>
      </c>
      <c r="D91" s="145">
        <v>8.8578000000000004E-2</v>
      </c>
      <c r="E91">
        <v>36224</v>
      </c>
      <c r="F91">
        <v>6.31</v>
      </c>
      <c r="G91" s="145">
        <v>6.5807000000000004E-2</v>
      </c>
      <c r="H91">
        <v>51779</v>
      </c>
      <c r="I91">
        <v>7.44</v>
      </c>
    </row>
    <row r="92" spans="3:9">
      <c r="C92">
        <v>84</v>
      </c>
      <c r="D92" s="145">
        <v>9.8388000000000003E-2</v>
      </c>
      <c r="E92">
        <v>33015</v>
      </c>
      <c r="F92">
        <v>5.88</v>
      </c>
      <c r="G92" s="145">
        <v>7.4052000000000007E-2</v>
      </c>
      <c r="H92">
        <v>48372</v>
      </c>
      <c r="I92">
        <v>6.93</v>
      </c>
    </row>
    <row r="93" spans="3:9">
      <c r="C93">
        <v>85</v>
      </c>
      <c r="D93" s="145">
        <v>0.109139</v>
      </c>
      <c r="E93">
        <v>29767</v>
      </c>
      <c r="F93">
        <v>5.47</v>
      </c>
      <c r="G93" s="145">
        <v>8.3403000000000005E-2</v>
      </c>
      <c r="H93">
        <v>44790</v>
      </c>
      <c r="I93">
        <v>6.44</v>
      </c>
    </row>
    <row r="94" spans="3:9">
      <c r="C94">
        <v>86</v>
      </c>
      <c r="D94" s="145">
        <v>0.120765</v>
      </c>
      <c r="E94">
        <v>26518</v>
      </c>
      <c r="F94">
        <v>5.07</v>
      </c>
      <c r="G94" s="145">
        <v>9.3798000000000006E-2</v>
      </c>
      <c r="H94">
        <v>41054</v>
      </c>
      <c r="I94">
        <v>5.99</v>
      </c>
    </row>
    <row r="95" spans="3:9">
      <c r="C95">
        <v>87</v>
      </c>
      <c r="D95" s="145">
        <v>0.13376299999999999</v>
      </c>
      <c r="E95">
        <v>23316</v>
      </c>
      <c r="F95">
        <v>4.7</v>
      </c>
      <c r="G95" s="145">
        <v>0.104958</v>
      </c>
      <c r="H95">
        <v>37203</v>
      </c>
      <c r="I95">
        <v>5.55</v>
      </c>
    </row>
    <row r="96" spans="3:9">
      <c r="C96">
        <v>88</v>
      </c>
      <c r="D96" s="145">
        <v>0.14837</v>
      </c>
      <c r="E96">
        <v>20197</v>
      </c>
      <c r="F96">
        <v>4.3499999999999996</v>
      </c>
      <c r="G96" s="145">
        <v>0.117435</v>
      </c>
      <c r="H96">
        <v>33299</v>
      </c>
      <c r="I96">
        <v>5.15</v>
      </c>
    </row>
    <row r="97" spans="3:9">
      <c r="C97">
        <v>89</v>
      </c>
      <c r="D97" s="145">
        <v>0.16453499999999999</v>
      </c>
      <c r="E97">
        <v>17200</v>
      </c>
      <c r="F97">
        <v>4.0199999999999996</v>
      </c>
      <c r="G97" s="145">
        <v>0.13153999999999999</v>
      </c>
      <c r="H97">
        <v>29388</v>
      </c>
      <c r="I97">
        <v>4.76</v>
      </c>
    </row>
    <row r="98" spans="3:9">
      <c r="C98">
        <v>90</v>
      </c>
      <c r="D98" s="145">
        <v>0.18263199999999999</v>
      </c>
      <c r="E98">
        <v>14370</v>
      </c>
      <c r="F98">
        <v>3.72</v>
      </c>
      <c r="G98" s="145">
        <v>0.146985</v>
      </c>
      <c r="H98">
        <v>25522</v>
      </c>
      <c r="I98">
        <v>4.41</v>
      </c>
    </row>
    <row r="99" spans="3:9">
      <c r="C99">
        <v>91</v>
      </c>
      <c r="D99" s="145">
        <v>0.20277300000000001</v>
      </c>
      <c r="E99">
        <v>11746</v>
      </c>
      <c r="F99">
        <v>3.44</v>
      </c>
      <c r="G99" s="145">
        <v>0.16359199999999999</v>
      </c>
      <c r="H99">
        <v>21771</v>
      </c>
      <c r="I99">
        <v>4.08</v>
      </c>
    </row>
    <row r="100" spans="3:9">
      <c r="C100">
        <v>92</v>
      </c>
      <c r="D100" s="145">
        <v>0.22370699999999999</v>
      </c>
      <c r="E100">
        <v>9364</v>
      </c>
      <c r="F100">
        <v>3.18</v>
      </c>
      <c r="G100" s="145">
        <v>0.181562</v>
      </c>
      <c r="H100">
        <v>18209</v>
      </c>
      <c r="I100">
        <v>3.78</v>
      </c>
    </row>
    <row r="101" spans="3:9">
      <c r="C101">
        <v>93</v>
      </c>
      <c r="D101" s="145">
        <v>0.24512400000000001</v>
      </c>
      <c r="E101">
        <v>7269</v>
      </c>
      <c r="F101">
        <v>2.96</v>
      </c>
      <c r="G101" s="145">
        <v>0.20072400000000001</v>
      </c>
      <c r="H101">
        <v>14903</v>
      </c>
      <c r="I101">
        <v>3.51</v>
      </c>
    </row>
    <row r="102" spans="3:9">
      <c r="C102">
        <v>94</v>
      </c>
      <c r="D102" s="145">
        <v>0.26693299999999998</v>
      </c>
      <c r="E102">
        <v>5487</v>
      </c>
      <c r="F102">
        <v>2.75</v>
      </c>
      <c r="G102" s="145">
        <v>0.21995799999999999</v>
      </c>
      <c r="H102">
        <v>11912</v>
      </c>
      <c r="I102">
        <v>3.27</v>
      </c>
    </row>
    <row r="103" spans="3:9">
      <c r="C103">
        <v>95</v>
      </c>
      <c r="D103" s="145">
        <v>0.28860200000000003</v>
      </c>
      <c r="E103">
        <v>4023</v>
      </c>
      <c r="F103">
        <v>2.57</v>
      </c>
      <c r="G103" s="145">
        <v>0.23946000000000001</v>
      </c>
      <c r="H103">
        <v>9292</v>
      </c>
      <c r="I103">
        <v>3.05</v>
      </c>
    </row>
    <row r="104" spans="3:9">
      <c r="C104">
        <v>96</v>
      </c>
      <c r="D104" s="145">
        <v>0.30978099999999997</v>
      </c>
      <c r="E104">
        <v>2862</v>
      </c>
      <c r="F104">
        <v>2.42</v>
      </c>
      <c r="G104" s="145">
        <v>0.25897500000000001</v>
      </c>
      <c r="H104">
        <v>7067</v>
      </c>
      <c r="I104">
        <v>2.85</v>
      </c>
    </row>
    <row r="105" spans="3:9">
      <c r="C105">
        <v>97</v>
      </c>
      <c r="D105" s="145">
        <v>0.33009899999999998</v>
      </c>
      <c r="E105">
        <v>1975</v>
      </c>
      <c r="F105">
        <v>2.2799999999999998</v>
      </c>
      <c r="G105" s="145">
        <v>0.278225</v>
      </c>
      <c r="H105">
        <v>5237</v>
      </c>
      <c r="I105">
        <v>2.68</v>
      </c>
    </row>
    <row r="106" spans="3:9">
      <c r="C106">
        <v>98</v>
      </c>
      <c r="D106" s="145">
        <v>0.34917700000000002</v>
      </c>
      <c r="E106">
        <v>1323</v>
      </c>
      <c r="F106">
        <v>2.15</v>
      </c>
      <c r="G106" s="145">
        <v>0.29691200000000001</v>
      </c>
      <c r="H106">
        <v>3780</v>
      </c>
      <c r="I106">
        <v>2.52</v>
      </c>
    </row>
    <row r="107" spans="3:9">
      <c r="C107">
        <v>99</v>
      </c>
      <c r="D107" s="145">
        <v>0.36663499999999999</v>
      </c>
      <c r="E107">
        <v>861</v>
      </c>
      <c r="F107">
        <v>2.04</v>
      </c>
      <c r="G107" s="145">
        <v>0.31472699999999998</v>
      </c>
      <c r="H107">
        <v>2657</v>
      </c>
      <c r="I107">
        <v>2.37</v>
      </c>
    </row>
    <row r="108" spans="3:9">
      <c r="C108">
        <v>100</v>
      </c>
      <c r="D108" s="145">
        <v>0.384967</v>
      </c>
      <c r="E108">
        <v>545</v>
      </c>
      <c r="F108">
        <v>1.93</v>
      </c>
      <c r="G108" s="145">
        <v>0.33361000000000002</v>
      </c>
      <c r="H108">
        <v>1821</v>
      </c>
      <c r="I108">
        <v>2.23</v>
      </c>
    </row>
    <row r="109" spans="3:9">
      <c r="C109">
        <v>101</v>
      </c>
      <c r="D109" s="145">
        <v>0.40421499999999999</v>
      </c>
      <c r="E109">
        <v>335</v>
      </c>
      <c r="F109">
        <v>1.83</v>
      </c>
      <c r="G109" s="145">
        <v>0.35362700000000002</v>
      </c>
      <c r="H109">
        <v>1214</v>
      </c>
      <c r="I109">
        <v>2.09</v>
      </c>
    </row>
    <row r="110" spans="3:9">
      <c r="C110">
        <v>102</v>
      </c>
      <c r="D110" s="145">
        <v>0.42442600000000003</v>
      </c>
      <c r="E110">
        <v>200</v>
      </c>
      <c r="F110">
        <v>1.73</v>
      </c>
      <c r="G110" s="145">
        <v>0.37484400000000001</v>
      </c>
      <c r="H110">
        <v>784</v>
      </c>
      <c r="I110">
        <v>1.96</v>
      </c>
    </row>
    <row r="111" spans="3:9">
      <c r="C111">
        <v>103</v>
      </c>
      <c r="D111" s="145">
        <v>0.44564799999999999</v>
      </c>
      <c r="E111">
        <v>115</v>
      </c>
      <c r="F111">
        <v>1.63</v>
      </c>
      <c r="G111" s="145">
        <v>0.39733499999999999</v>
      </c>
      <c r="H111">
        <v>490</v>
      </c>
      <c r="I111">
        <v>1.84</v>
      </c>
    </row>
    <row r="112" spans="3:9">
      <c r="C112">
        <v>104</v>
      </c>
      <c r="D112" s="145">
        <v>0.46793000000000001</v>
      </c>
      <c r="E112">
        <v>64</v>
      </c>
      <c r="F112">
        <v>1.54</v>
      </c>
      <c r="G112" s="145">
        <v>0.42117500000000002</v>
      </c>
      <c r="H112">
        <v>296</v>
      </c>
      <c r="I112">
        <v>1.72</v>
      </c>
    </row>
    <row r="113" spans="3:9">
      <c r="C113">
        <v>105</v>
      </c>
      <c r="D113" s="145">
        <v>0.49132599999999998</v>
      </c>
      <c r="E113">
        <v>34</v>
      </c>
      <c r="F113">
        <v>1.45</v>
      </c>
      <c r="G113" s="145">
        <v>0.44644600000000001</v>
      </c>
      <c r="H113">
        <v>171</v>
      </c>
      <c r="I113">
        <v>1.61</v>
      </c>
    </row>
    <row r="114" spans="3:9">
      <c r="C114">
        <v>106</v>
      </c>
      <c r="D114" s="145">
        <v>0.51589300000000005</v>
      </c>
      <c r="E114">
        <v>17</v>
      </c>
      <c r="F114">
        <v>1.36</v>
      </c>
      <c r="G114" s="145">
        <v>0.47323199999999999</v>
      </c>
      <c r="H114">
        <v>95</v>
      </c>
      <c r="I114">
        <v>1.5</v>
      </c>
    </row>
    <row r="115" spans="3:9">
      <c r="C115">
        <v>107</v>
      </c>
      <c r="D115" s="145">
        <v>0.54168700000000003</v>
      </c>
      <c r="E115">
        <v>8</v>
      </c>
      <c r="F115">
        <v>1.28</v>
      </c>
      <c r="G115" s="145">
        <v>0.50162600000000002</v>
      </c>
      <c r="H115">
        <v>50</v>
      </c>
      <c r="I115">
        <v>1.4</v>
      </c>
    </row>
    <row r="116" spans="3:9">
      <c r="C116">
        <v>108</v>
      </c>
      <c r="D116" s="145">
        <v>0.56877200000000006</v>
      </c>
      <c r="E116">
        <v>4</v>
      </c>
      <c r="F116">
        <v>1.2</v>
      </c>
      <c r="G116" s="145">
        <v>0.53172399999999997</v>
      </c>
      <c r="H116">
        <v>25</v>
      </c>
      <c r="I116">
        <v>1.3</v>
      </c>
    </row>
    <row r="117" spans="3:9">
      <c r="C117">
        <v>109</v>
      </c>
      <c r="D117" s="145">
        <v>0.59721000000000002</v>
      </c>
      <c r="E117">
        <v>2</v>
      </c>
      <c r="F117">
        <v>1.1299999999999999</v>
      </c>
      <c r="G117" s="145">
        <v>0.56362699999999999</v>
      </c>
      <c r="H117">
        <v>12</v>
      </c>
      <c r="I117">
        <v>1.21</v>
      </c>
    </row>
    <row r="118" spans="3:9">
      <c r="C118">
        <v>110</v>
      </c>
      <c r="D118" s="145">
        <v>0.62707100000000005</v>
      </c>
      <c r="E118">
        <v>1</v>
      </c>
      <c r="F118">
        <v>1.05</v>
      </c>
      <c r="G118" s="145">
        <v>0.597445</v>
      </c>
      <c r="H118">
        <v>5</v>
      </c>
      <c r="I118">
        <v>1.1200000000000001</v>
      </c>
    </row>
    <row r="119" spans="3:9">
      <c r="C119">
        <v>111</v>
      </c>
      <c r="D119" s="145">
        <v>0.65842400000000001</v>
      </c>
      <c r="E119">
        <v>0</v>
      </c>
      <c r="F119">
        <v>0.98</v>
      </c>
      <c r="G119" s="145">
        <v>0.63329199999999997</v>
      </c>
      <c r="H119">
        <v>2</v>
      </c>
      <c r="I119">
        <v>1.03</v>
      </c>
    </row>
    <row r="120" spans="3:9">
      <c r="C120">
        <v>112</v>
      </c>
      <c r="D120" s="145">
        <v>0.69134600000000002</v>
      </c>
      <c r="E120">
        <v>0</v>
      </c>
      <c r="F120">
        <v>0.92</v>
      </c>
      <c r="G120" s="145">
        <v>0.67128900000000002</v>
      </c>
      <c r="H120">
        <v>1</v>
      </c>
      <c r="I120">
        <v>0.95</v>
      </c>
    </row>
    <row r="121" spans="3:9">
      <c r="C121">
        <v>113</v>
      </c>
      <c r="D121" s="145">
        <v>0.72591300000000003</v>
      </c>
      <c r="E121">
        <v>0</v>
      </c>
      <c r="F121">
        <v>0.85</v>
      </c>
      <c r="G121" s="145">
        <v>0.71156699999999995</v>
      </c>
      <c r="H121">
        <v>0</v>
      </c>
      <c r="I121">
        <v>0.88</v>
      </c>
    </row>
    <row r="122" spans="3:9">
      <c r="C122">
        <v>114</v>
      </c>
      <c r="D122" s="145">
        <v>0.76220900000000003</v>
      </c>
      <c r="E122">
        <v>0</v>
      </c>
      <c r="F122">
        <v>0.79</v>
      </c>
      <c r="G122" s="145">
        <v>0.75426099999999996</v>
      </c>
      <c r="H122">
        <v>0</v>
      </c>
      <c r="I122">
        <v>0.8</v>
      </c>
    </row>
    <row r="123" spans="3:9">
      <c r="C123">
        <v>115</v>
      </c>
      <c r="D123" s="145">
        <v>0.800319</v>
      </c>
      <c r="E123">
        <v>0</v>
      </c>
      <c r="F123">
        <v>0.74</v>
      </c>
      <c r="G123" s="145">
        <v>0.799516</v>
      </c>
      <c r="H123">
        <v>0</v>
      </c>
      <c r="I123">
        <v>0.74</v>
      </c>
    </row>
    <row r="124" spans="3:9">
      <c r="C124">
        <v>116</v>
      </c>
      <c r="D124" s="145">
        <v>0.84033500000000005</v>
      </c>
      <c r="E124">
        <v>0</v>
      </c>
      <c r="F124">
        <v>0.68</v>
      </c>
      <c r="G124" s="145">
        <v>0.84033500000000005</v>
      </c>
      <c r="H124">
        <v>0</v>
      </c>
      <c r="I124">
        <v>0.68</v>
      </c>
    </row>
    <row r="125" spans="3:9">
      <c r="C125">
        <v>117</v>
      </c>
      <c r="D125" s="145">
        <v>0.88235200000000003</v>
      </c>
      <c r="E125">
        <v>0</v>
      </c>
      <c r="F125">
        <v>0.63</v>
      </c>
      <c r="G125" s="145">
        <v>0.88235200000000003</v>
      </c>
      <c r="H125">
        <v>0</v>
      </c>
      <c r="I125">
        <v>0.63</v>
      </c>
    </row>
    <row r="126" spans="3:9">
      <c r="C126">
        <v>118</v>
      </c>
      <c r="D126" s="145">
        <v>0.92646899999999999</v>
      </c>
      <c r="E126">
        <v>0</v>
      </c>
      <c r="F126">
        <v>0.57999999999999996</v>
      </c>
      <c r="G126" s="145">
        <v>0.92646899999999999</v>
      </c>
      <c r="H126">
        <v>0</v>
      </c>
      <c r="I126">
        <v>0.57999999999999996</v>
      </c>
    </row>
    <row r="127" spans="3:9">
      <c r="C127">
        <v>119</v>
      </c>
      <c r="D127" s="145">
        <v>0.97279300000000002</v>
      </c>
      <c r="E127">
        <v>0</v>
      </c>
      <c r="F127">
        <v>0.53</v>
      </c>
      <c r="G127" s="145">
        <v>0.97279300000000002</v>
      </c>
      <c r="H127">
        <v>0</v>
      </c>
      <c r="I127">
        <v>0.53</v>
      </c>
    </row>
  </sheetData>
  <mergeCells count="2">
    <mergeCell ref="D6:F6"/>
    <mergeCell ref="G6:I6"/>
  </mergeCells>
  <hyperlinks>
    <hyperlink ref="D3" r:id="rId1" xr:uid="{5E141EAF-19E1-4031-B7CD-762E893AE6B2}"/>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D1634-C306-4ACF-819E-13681BD6A06F}">
  <sheetPr codeName="Sheet35"/>
  <dimension ref="B2:L18"/>
  <sheetViews>
    <sheetView workbookViewId="0">
      <selection activeCell="B22" sqref="B22:D22"/>
    </sheetView>
  </sheetViews>
  <sheetFormatPr defaultRowHeight="15"/>
  <cols>
    <col min="2" max="2" width="28.85546875" bestFit="1" customWidth="1"/>
    <col min="3" max="4" width="12.5703125" hidden="1" customWidth="1"/>
    <col min="6" max="6" width="11.140625" bestFit="1" customWidth="1"/>
    <col min="7" max="7" width="15.140625" bestFit="1" customWidth="1"/>
  </cols>
  <sheetData>
    <row r="2" spans="2:12">
      <c r="B2" t="s">
        <v>327</v>
      </c>
    </row>
    <row r="3" spans="2:12">
      <c r="B3" t="s">
        <v>328</v>
      </c>
      <c r="C3" t="s">
        <v>317</v>
      </c>
      <c r="D3" t="s">
        <v>318</v>
      </c>
      <c r="E3" t="s">
        <v>19</v>
      </c>
      <c r="F3" t="s">
        <v>329</v>
      </c>
      <c r="G3" t="s">
        <v>332</v>
      </c>
      <c r="K3" t="s">
        <v>330</v>
      </c>
      <c r="L3" s="55" t="s">
        <v>331</v>
      </c>
    </row>
    <row r="4" spans="2:12">
      <c r="B4" t="str">
        <f>_xlfn.CONCAT(C4, " to ",D4)</f>
        <v>0 to 5</v>
      </c>
      <c r="C4">
        <v>0</v>
      </c>
      <c r="D4">
        <f t="shared" ref="D4:D16" si="0">C4+5</f>
        <v>5</v>
      </c>
      <c r="E4">
        <v>61</v>
      </c>
      <c r="F4" s="145">
        <f t="shared" ref="F4:F17" si="1">E4/$E$18</f>
        <v>0.35260115606936415</v>
      </c>
      <c r="G4" s="145">
        <f>E4/SUM($E$4:$E$8)</f>
        <v>0.4236111111111111</v>
      </c>
    </row>
    <row r="5" spans="2:12">
      <c r="B5" t="str">
        <f t="shared" ref="B5:B17" si="2">_xlfn.CONCAT(C5, " to ",D5)</f>
        <v>5 to 10</v>
      </c>
      <c r="C5">
        <f t="shared" ref="C5:C16" si="3">D4</f>
        <v>5</v>
      </c>
      <c r="D5">
        <f t="shared" si="0"/>
        <v>10</v>
      </c>
      <c r="E5">
        <v>27</v>
      </c>
      <c r="F5" s="145">
        <f t="shared" si="1"/>
        <v>0.15606936416184972</v>
      </c>
      <c r="G5" s="145">
        <f t="shared" ref="G5:G8" si="4">E5/SUM($E$4:$E$8)</f>
        <v>0.1875</v>
      </c>
    </row>
    <row r="6" spans="2:12">
      <c r="B6" t="str">
        <f t="shared" si="2"/>
        <v>10 to 15</v>
      </c>
      <c r="C6">
        <f t="shared" si="3"/>
        <v>10</v>
      </c>
      <c r="D6">
        <f t="shared" si="0"/>
        <v>15</v>
      </c>
      <c r="E6">
        <v>29</v>
      </c>
      <c r="F6" s="145">
        <f t="shared" si="1"/>
        <v>0.16763005780346821</v>
      </c>
      <c r="G6" s="145">
        <f t="shared" si="4"/>
        <v>0.2013888888888889</v>
      </c>
    </row>
    <row r="7" spans="2:12">
      <c r="B7" t="str">
        <f t="shared" si="2"/>
        <v>15 to 20</v>
      </c>
      <c r="C7">
        <f t="shared" si="3"/>
        <v>15</v>
      </c>
      <c r="D7">
        <f t="shared" si="0"/>
        <v>20</v>
      </c>
      <c r="E7">
        <v>18</v>
      </c>
      <c r="F7" s="145">
        <f t="shared" si="1"/>
        <v>0.10404624277456648</v>
      </c>
      <c r="G7" s="145">
        <f t="shared" si="4"/>
        <v>0.125</v>
      </c>
    </row>
    <row r="8" spans="2:12">
      <c r="B8" t="str">
        <f t="shared" si="2"/>
        <v>20 to 25</v>
      </c>
      <c r="C8">
        <f t="shared" si="3"/>
        <v>20</v>
      </c>
      <c r="D8">
        <f t="shared" si="0"/>
        <v>25</v>
      </c>
      <c r="E8">
        <v>9</v>
      </c>
      <c r="F8" s="145">
        <f t="shared" si="1"/>
        <v>5.2023121387283239E-2</v>
      </c>
      <c r="G8" s="145">
        <f t="shared" si="4"/>
        <v>6.25E-2</v>
      </c>
    </row>
    <row r="9" spans="2:12">
      <c r="B9" t="str">
        <f t="shared" si="2"/>
        <v>25 to 30</v>
      </c>
      <c r="C9">
        <f t="shared" si="3"/>
        <v>25</v>
      </c>
      <c r="D9">
        <f t="shared" si="0"/>
        <v>30</v>
      </c>
      <c r="E9">
        <v>6</v>
      </c>
      <c r="F9" s="145">
        <f t="shared" si="1"/>
        <v>3.4682080924855488E-2</v>
      </c>
    </row>
    <row r="10" spans="2:12">
      <c r="B10" t="str">
        <f t="shared" si="2"/>
        <v>30 to 35</v>
      </c>
      <c r="C10">
        <f t="shared" si="3"/>
        <v>30</v>
      </c>
      <c r="D10">
        <f t="shared" si="0"/>
        <v>35</v>
      </c>
      <c r="E10">
        <v>3</v>
      </c>
      <c r="F10" s="145">
        <f t="shared" si="1"/>
        <v>1.7341040462427744E-2</v>
      </c>
    </row>
    <row r="11" spans="2:12">
      <c r="B11" t="str">
        <f t="shared" si="2"/>
        <v>35 to 40</v>
      </c>
      <c r="C11">
        <f t="shared" si="3"/>
        <v>35</v>
      </c>
      <c r="D11">
        <f t="shared" si="0"/>
        <v>40</v>
      </c>
      <c r="E11">
        <v>1</v>
      </c>
      <c r="F11" s="145">
        <f t="shared" si="1"/>
        <v>5.7803468208092483E-3</v>
      </c>
    </row>
    <row r="12" spans="2:12">
      <c r="B12" t="str">
        <f t="shared" si="2"/>
        <v>40 to 45</v>
      </c>
      <c r="C12">
        <f t="shared" si="3"/>
        <v>40</v>
      </c>
      <c r="D12">
        <f t="shared" si="0"/>
        <v>45</v>
      </c>
      <c r="E12">
        <v>1</v>
      </c>
      <c r="F12" s="145">
        <f t="shared" si="1"/>
        <v>5.7803468208092483E-3</v>
      </c>
    </row>
    <row r="13" spans="2:12">
      <c r="B13" t="str">
        <f t="shared" si="2"/>
        <v>45 to 50</v>
      </c>
      <c r="C13">
        <f t="shared" si="3"/>
        <v>45</v>
      </c>
      <c r="D13">
        <f t="shared" si="0"/>
        <v>50</v>
      </c>
      <c r="E13">
        <v>1</v>
      </c>
      <c r="F13" s="145">
        <f t="shared" si="1"/>
        <v>5.7803468208092483E-3</v>
      </c>
    </row>
    <row r="14" spans="2:12">
      <c r="B14" t="str">
        <f t="shared" si="2"/>
        <v>50 to 55</v>
      </c>
      <c r="C14">
        <f t="shared" si="3"/>
        <v>50</v>
      </c>
      <c r="D14">
        <f t="shared" si="0"/>
        <v>55</v>
      </c>
      <c r="E14">
        <v>7</v>
      </c>
      <c r="F14" s="145">
        <f t="shared" si="1"/>
        <v>4.046242774566474E-2</v>
      </c>
    </row>
    <row r="15" spans="2:12">
      <c r="B15" t="str">
        <f t="shared" si="2"/>
        <v>55 to 60</v>
      </c>
      <c r="C15">
        <f t="shared" si="3"/>
        <v>55</v>
      </c>
      <c r="D15">
        <f t="shared" si="0"/>
        <v>60</v>
      </c>
      <c r="E15">
        <v>0</v>
      </c>
      <c r="F15" s="145">
        <f t="shared" si="1"/>
        <v>0</v>
      </c>
    </row>
    <row r="16" spans="2:12">
      <c r="B16" t="str">
        <f t="shared" si="2"/>
        <v>60 to 65</v>
      </c>
      <c r="C16">
        <f t="shared" si="3"/>
        <v>60</v>
      </c>
      <c r="D16">
        <f t="shared" si="0"/>
        <v>65</v>
      </c>
      <c r="E16">
        <v>3</v>
      </c>
      <c r="F16" s="145">
        <f t="shared" si="1"/>
        <v>1.7341040462427744E-2</v>
      </c>
    </row>
    <row r="17" spans="2:6">
      <c r="B17" t="str">
        <f t="shared" si="2"/>
        <v>65 to 160</v>
      </c>
      <c r="C17">
        <f>D16</f>
        <v>65</v>
      </c>
      <c r="D17">
        <v>160</v>
      </c>
      <c r="E17">
        <v>7</v>
      </c>
      <c r="F17" s="145">
        <f t="shared" si="1"/>
        <v>4.046242774566474E-2</v>
      </c>
    </row>
    <row r="18" spans="2:6">
      <c r="B18" t="s">
        <v>7</v>
      </c>
      <c r="E18">
        <v>173</v>
      </c>
    </row>
  </sheetData>
  <hyperlinks>
    <hyperlink ref="L3" r:id="rId1" xr:uid="{39AC3B77-E0E1-4CEA-BEC6-0E464173ED41}"/>
  </hyperlinks>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9A9E5-1573-4154-9B61-315178E6BADD}">
  <sheetPr codeName="Sheet15"/>
  <dimension ref="A3:F10"/>
  <sheetViews>
    <sheetView workbookViewId="0">
      <selection activeCell="D5" sqref="D5"/>
    </sheetView>
  </sheetViews>
  <sheetFormatPr defaultRowHeight="15"/>
  <cols>
    <col min="2" max="2" width="15.140625" bestFit="1" customWidth="1"/>
    <col min="3" max="3" width="11.7109375" bestFit="1" customWidth="1"/>
    <col min="4" max="4" width="13.7109375" bestFit="1" customWidth="1"/>
  </cols>
  <sheetData>
    <row r="3" spans="1:6">
      <c r="A3" t="s">
        <v>204</v>
      </c>
      <c r="B3">
        <v>1</v>
      </c>
      <c r="C3" t="s">
        <v>205</v>
      </c>
      <c r="D3" s="139" t="e" cm="1">
        <f t="array" ref="D3">Lastmodified(#REF!)</f>
        <v>#VALUE!</v>
      </c>
      <c r="F3" t="e">
        <f>IF(D3&gt;D4,B3,B4)</f>
        <v>#VALUE!</v>
      </c>
    </row>
    <row r="4" spans="1:6">
      <c r="A4" t="s">
        <v>204</v>
      </c>
      <c r="B4">
        <v>1</v>
      </c>
      <c r="C4" t="s">
        <v>205</v>
      </c>
      <c r="D4" s="139" t="e" cm="1">
        <f t="array" ref="D4">Lastmodified(#REF!)</f>
        <v>#VALUE!</v>
      </c>
    </row>
    <row r="10" spans="1:6">
      <c r="A10" t="s">
        <v>347</v>
      </c>
      <c r="B10" s="238">
        <v>45291</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6EA9C-8171-48B8-91F3-8D4A349F693B}">
  <sheetPr codeName="Sheet25"/>
  <dimension ref="A1:F51"/>
  <sheetViews>
    <sheetView workbookViewId="0">
      <selection activeCell="B22" sqref="B22:D22"/>
    </sheetView>
  </sheetViews>
  <sheetFormatPr defaultRowHeight="15"/>
  <cols>
    <col min="1" max="1" width="22.28515625" bestFit="1" customWidth="1"/>
    <col min="2" max="2" width="17.42578125" bestFit="1" customWidth="1"/>
    <col min="3" max="3" width="15.140625" bestFit="1" customWidth="1"/>
    <col min="5" max="5" width="22.85546875" bestFit="1" customWidth="1"/>
    <col min="6" max="6" width="11.7109375" bestFit="1" customWidth="1"/>
  </cols>
  <sheetData>
    <row r="1" spans="1:6" ht="15.75" thickBot="1"/>
    <row r="2" spans="1:6">
      <c r="A2" s="374" t="s">
        <v>268</v>
      </c>
      <c r="B2" s="375"/>
      <c r="C2" s="375"/>
      <c r="D2" s="375"/>
      <c r="E2" s="375"/>
      <c r="F2" s="376"/>
    </row>
    <row r="3" spans="1:6">
      <c r="A3" s="381"/>
      <c r="B3" s="382"/>
      <c r="C3" s="383"/>
      <c r="D3" s="384"/>
      <c r="E3" s="385"/>
      <c r="F3" s="386"/>
    </row>
    <row r="4" spans="1:6">
      <c r="A4" s="64"/>
      <c r="F4" s="66"/>
    </row>
    <row r="5" spans="1:6" ht="30">
      <c r="A5" s="166" t="s">
        <v>260</v>
      </c>
      <c r="B5" s="167" t="s">
        <v>261</v>
      </c>
      <c r="C5" s="168" t="s">
        <v>266</v>
      </c>
      <c r="D5" s="169" t="s">
        <v>262</v>
      </c>
      <c r="E5" s="168" t="s">
        <v>264</v>
      </c>
      <c r="F5" s="170" t="s">
        <v>23</v>
      </c>
    </row>
    <row r="6" spans="1:6">
      <c r="A6" s="156"/>
      <c r="B6" s="157"/>
      <c r="C6" s="158"/>
      <c r="D6" s="159"/>
      <c r="E6" s="200" t="s">
        <v>290</v>
      </c>
      <c r="F6" s="160"/>
    </row>
    <row r="7" spans="1:6" ht="15.75" thickBot="1">
      <c r="A7" s="161" t="s">
        <v>265</v>
      </c>
      <c r="B7" s="162">
        <v>1</v>
      </c>
      <c r="C7" s="162" t="e">
        <f>SUM(#REF!)</f>
        <v>#REF!</v>
      </c>
      <c r="D7" s="163" t="e">
        <f>C7*B14</f>
        <v>#REF!</v>
      </c>
      <c r="E7" s="176">
        <v>58.8645</v>
      </c>
      <c r="F7" s="176" t="e">
        <f>E7*D7</f>
        <v>#REF!</v>
      </c>
    </row>
    <row r="8" spans="1:6" ht="15.75" thickBot="1">
      <c r="A8" s="389"/>
      <c r="B8" s="390"/>
      <c r="C8" s="391"/>
      <c r="D8" s="175" t="e">
        <f>SUM(D6:D7)</f>
        <v>#REF!</v>
      </c>
      <c r="E8" s="177" t="s">
        <v>279</v>
      </c>
      <c r="F8" s="177" t="e">
        <f>SUM(F6:F7)</f>
        <v>#REF!</v>
      </c>
    </row>
    <row r="9" spans="1:6" ht="15.75" thickBot="1">
      <c r="A9" s="392"/>
      <c r="B9" s="393"/>
      <c r="C9" s="394"/>
      <c r="D9" s="178" t="s">
        <v>263</v>
      </c>
      <c r="E9" s="174"/>
      <c r="F9" s="173"/>
    </row>
    <row r="10" spans="1:6">
      <c r="A10" s="164"/>
      <c r="B10" s="165"/>
      <c r="C10" s="165"/>
      <c r="D10" s="165"/>
      <c r="E10" s="174"/>
      <c r="F10" s="173"/>
    </row>
    <row r="11" spans="1:6" ht="15.75" thickBot="1">
      <c r="A11" s="64"/>
      <c r="D11" s="172"/>
      <c r="E11" s="174"/>
      <c r="F11" s="173"/>
    </row>
    <row r="12" spans="1:6" ht="30.75" thickBot="1">
      <c r="E12" s="189" t="s">
        <v>280</v>
      </c>
      <c r="F12" s="177" t="e">
        <f>F8+F24+F48</f>
        <v>#REF!</v>
      </c>
    </row>
    <row r="13" spans="1:6" ht="15.75" thickBot="1"/>
    <row r="14" spans="1:6" ht="30.75" thickBot="1">
      <c r="A14" s="171" t="s">
        <v>267</v>
      </c>
      <c r="B14" s="179">
        <f>0.5+0.5+1</f>
        <v>2</v>
      </c>
    </row>
    <row r="18" spans="1:6" ht="15.75" thickBot="1"/>
    <row r="19" spans="1:6">
      <c r="A19" s="374" t="s">
        <v>269</v>
      </c>
      <c r="B19" s="375"/>
      <c r="C19" s="375"/>
      <c r="D19" s="375"/>
      <c r="E19" s="375"/>
      <c r="F19" s="376"/>
    </row>
    <row r="20" spans="1:6">
      <c r="A20" s="381"/>
      <c r="B20" s="382"/>
      <c r="C20" s="383"/>
      <c r="D20" s="384"/>
      <c r="E20" s="385"/>
      <c r="F20" s="386"/>
    </row>
    <row r="21" spans="1:6">
      <c r="A21" s="64"/>
      <c r="F21" s="66"/>
    </row>
    <row r="22" spans="1:6" ht="30" customHeight="1">
      <c r="A22" s="166" t="s">
        <v>273</v>
      </c>
      <c r="B22" s="396" t="s">
        <v>277</v>
      </c>
      <c r="C22" s="397"/>
      <c r="D22" s="398"/>
      <c r="E22" s="168" t="s">
        <v>276</v>
      </c>
      <c r="F22" s="170" t="s">
        <v>23</v>
      </c>
    </row>
    <row r="23" spans="1:6" ht="15.75" thickBot="1">
      <c r="A23" s="182" t="e">
        <f>C7</f>
        <v>#REF!</v>
      </c>
      <c r="B23" s="399" t="e">
        <f>A23*B30</f>
        <v>#REF!</v>
      </c>
      <c r="C23" s="400"/>
      <c r="D23" s="401"/>
      <c r="E23" s="176" t="e">
        <f>B35</f>
        <v>#REF!</v>
      </c>
      <c r="F23" s="176" t="e">
        <f>E23*B23</f>
        <v>#REF!</v>
      </c>
    </row>
    <row r="24" spans="1:6" ht="15.75" thickBot="1">
      <c r="A24" s="389"/>
      <c r="B24" s="390"/>
      <c r="C24" s="391"/>
      <c r="D24" s="175"/>
      <c r="E24" s="177" t="s">
        <v>278</v>
      </c>
      <c r="F24" s="177" t="e">
        <f>SUM(F23:F23)</f>
        <v>#REF!</v>
      </c>
    </row>
    <row r="25" spans="1:6" ht="15.75" thickBot="1">
      <c r="A25" s="392"/>
      <c r="B25" s="393"/>
      <c r="C25" s="394"/>
      <c r="D25" s="165"/>
      <c r="E25" s="395"/>
      <c r="F25" s="173"/>
    </row>
    <row r="26" spans="1:6">
      <c r="A26" s="164"/>
      <c r="B26" s="165"/>
      <c r="C26" s="165"/>
      <c r="D26" s="165"/>
      <c r="E26" s="395"/>
      <c r="F26" s="173"/>
    </row>
    <row r="27" spans="1:6">
      <c r="A27" s="64"/>
      <c r="D27" s="172"/>
      <c r="E27" s="174"/>
      <c r="F27" s="173"/>
    </row>
    <row r="29" spans="1:6" ht="15.75" thickBot="1"/>
    <row r="30" spans="1:6" ht="30.75" thickBot="1">
      <c r="A30" s="171" t="s">
        <v>270</v>
      </c>
      <c r="B30" s="180">
        <v>0.1</v>
      </c>
    </row>
    <row r="31" spans="1:6" ht="15.75" thickBot="1"/>
    <row r="32" spans="1:6" ht="30.75" thickBot="1">
      <c r="A32" s="171" t="s">
        <v>271</v>
      </c>
      <c r="B32" s="181">
        <v>0.05</v>
      </c>
    </row>
    <row r="33" spans="1:6" ht="15.75" thickBot="1"/>
    <row r="34" spans="1:6" ht="15.75" thickBot="1">
      <c r="A34" s="171" t="s">
        <v>274</v>
      </c>
      <c r="B34" s="183" t="e">
        <f>#REF!</f>
        <v>#REF!</v>
      </c>
    </row>
    <row r="35" spans="1:6" ht="30.75" thickBot="1">
      <c r="A35" s="171" t="s">
        <v>275</v>
      </c>
      <c r="B35" s="183" t="e">
        <f>B34*B32</f>
        <v>#REF!</v>
      </c>
    </row>
    <row r="38" spans="1:6" ht="15.75" thickBot="1"/>
    <row r="39" spans="1:6">
      <c r="A39" s="374" t="s">
        <v>289</v>
      </c>
      <c r="B39" s="375"/>
      <c r="C39" s="375"/>
      <c r="D39" s="375"/>
      <c r="E39" s="375"/>
      <c r="F39" s="376"/>
    </row>
    <row r="40" spans="1:6">
      <c r="A40" s="381"/>
      <c r="B40" s="382"/>
      <c r="C40" s="383"/>
      <c r="D40" s="384"/>
      <c r="E40" s="385"/>
      <c r="F40" s="386"/>
    </row>
    <row r="41" spans="1:6">
      <c r="A41" s="64"/>
      <c r="F41" s="66"/>
    </row>
    <row r="42" spans="1:6">
      <c r="A42" s="166" t="s">
        <v>282</v>
      </c>
      <c r="B42" s="167" t="s">
        <v>281</v>
      </c>
      <c r="C42" s="387" t="s">
        <v>283</v>
      </c>
      <c r="D42" s="388"/>
      <c r="E42" s="168" t="s">
        <v>288</v>
      </c>
      <c r="F42" s="170" t="s">
        <v>23</v>
      </c>
    </row>
    <row r="43" spans="1:6">
      <c r="A43" s="196">
        <v>0.5</v>
      </c>
      <c r="B43" s="190">
        <v>0.25</v>
      </c>
      <c r="C43" s="377">
        <f>B43*$B$50</f>
        <v>100</v>
      </c>
      <c r="D43" s="378"/>
      <c r="E43" s="192">
        <f>C43*A43</f>
        <v>50</v>
      </c>
      <c r="F43" s="160">
        <f>E43*$B$51</f>
        <v>6.5</v>
      </c>
    </row>
    <row r="44" spans="1:6">
      <c r="A44" s="196">
        <v>0.5</v>
      </c>
      <c r="B44" s="190">
        <v>0.5</v>
      </c>
      <c r="C44" s="377">
        <f t="shared" ref="C44:C45" si="0">B44*$B$50</f>
        <v>200</v>
      </c>
      <c r="D44" s="378"/>
      <c r="E44" s="193">
        <f t="shared" ref="E44:E45" si="1">C44*A44</f>
        <v>100</v>
      </c>
      <c r="F44" s="197">
        <f t="shared" ref="F44:F45" si="2">E44*$B$51</f>
        <v>13</v>
      </c>
    </row>
    <row r="45" spans="1:6" ht="15.75" thickBot="1">
      <c r="A45" s="196">
        <v>1</v>
      </c>
      <c r="B45" s="190">
        <v>0.75</v>
      </c>
      <c r="C45" s="379">
        <f t="shared" si="0"/>
        <v>300</v>
      </c>
      <c r="D45" s="380"/>
      <c r="E45" s="194">
        <f t="shared" si="1"/>
        <v>300</v>
      </c>
      <c r="F45" s="198">
        <f t="shared" si="2"/>
        <v>39</v>
      </c>
    </row>
    <row r="46" spans="1:6" ht="15.75" thickBot="1">
      <c r="A46" s="184"/>
      <c r="B46" s="199"/>
      <c r="C46" s="185"/>
      <c r="D46" s="175"/>
      <c r="E46" s="177" t="s">
        <v>286</v>
      </c>
      <c r="F46" s="177">
        <f>SUM(F43:F45)</f>
        <v>58.5</v>
      </c>
    </row>
    <row r="47" spans="1:6" ht="15.75" thickBot="1">
      <c r="A47" s="186"/>
      <c r="B47" s="187"/>
      <c r="C47" s="188"/>
      <c r="D47" s="178"/>
      <c r="E47" s="177" t="s">
        <v>272</v>
      </c>
      <c r="F47" s="177" t="e">
        <f>C7</f>
        <v>#REF!</v>
      </c>
    </row>
    <row r="48" spans="1:6" ht="15.75" thickBot="1">
      <c r="E48" s="177" t="s">
        <v>287</v>
      </c>
      <c r="F48" s="177" t="e">
        <f>F47*F46</f>
        <v>#REF!</v>
      </c>
    </row>
    <row r="49" spans="1:2" ht="15.75" thickBot="1"/>
    <row r="50" spans="1:2" ht="15.75" thickBot="1">
      <c r="A50" s="171" t="s">
        <v>284</v>
      </c>
      <c r="B50" s="191">
        <v>400</v>
      </c>
    </row>
    <row r="51" spans="1:2" ht="15.75" thickBot="1">
      <c r="A51" s="171" t="s">
        <v>285</v>
      </c>
      <c r="B51" s="195">
        <v>0.13</v>
      </c>
    </row>
  </sheetData>
  <mergeCells count="21">
    <mergeCell ref="A2:F2"/>
    <mergeCell ref="A3:B3"/>
    <mergeCell ref="C3:D3"/>
    <mergeCell ref="E3:F3"/>
    <mergeCell ref="A8:C9"/>
    <mergeCell ref="A19:F19"/>
    <mergeCell ref="A20:B20"/>
    <mergeCell ref="C20:D20"/>
    <mergeCell ref="E20:F20"/>
    <mergeCell ref="A24:C25"/>
    <mergeCell ref="E25:E26"/>
    <mergeCell ref="B22:D22"/>
    <mergeCell ref="B23:D23"/>
    <mergeCell ref="A39:F39"/>
    <mergeCell ref="C44:D44"/>
    <mergeCell ref="C45:D45"/>
    <mergeCell ref="A40:B40"/>
    <mergeCell ref="C40:D40"/>
    <mergeCell ref="E40:F40"/>
    <mergeCell ref="C42:D42"/>
    <mergeCell ref="C43:D43"/>
  </mergeCells>
  <pageMargins left="0.7" right="0.7" top="0.75" bottom="0.75" header="0.3" footer="0.3"/>
  <drawing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81DA9-BE47-42A6-AC77-DFE2D4FABAF9}">
  <sheetPr codeName="Sheet13"/>
  <dimension ref="A1:I74"/>
  <sheetViews>
    <sheetView topLeftCell="A55" workbookViewId="0">
      <selection activeCell="I57" sqref="I57"/>
    </sheetView>
  </sheetViews>
  <sheetFormatPr defaultRowHeight="15"/>
  <cols>
    <col min="1" max="1" width="34.5703125" customWidth="1"/>
    <col min="2" max="4" width="7.5703125" hidden="1" customWidth="1"/>
    <col min="5" max="5" width="11.5703125" bestFit="1" customWidth="1"/>
    <col min="6" max="6" width="9.7109375" customWidth="1"/>
    <col min="7" max="7" width="6" customWidth="1"/>
    <col min="8" max="9" width="98.85546875" bestFit="1" customWidth="1"/>
  </cols>
  <sheetData>
    <row r="1" spans="1:9">
      <c r="A1" s="8" t="s">
        <v>116</v>
      </c>
      <c r="B1" s="8"/>
      <c r="C1" s="8"/>
      <c r="D1" s="8"/>
    </row>
    <row r="2" spans="1:9">
      <c r="A2" s="120" t="s">
        <v>110</v>
      </c>
      <c r="B2" s="121" t="s">
        <v>29</v>
      </c>
      <c r="C2" s="121" t="s">
        <v>135</v>
      </c>
      <c r="D2" s="121" t="s">
        <v>137</v>
      </c>
      <c r="E2" s="121" t="s">
        <v>132</v>
      </c>
      <c r="F2" s="121" t="s">
        <v>111</v>
      </c>
      <c r="G2" s="121" t="s">
        <v>9</v>
      </c>
      <c r="H2" s="121" t="s">
        <v>121</v>
      </c>
      <c r="I2" s="121" t="s">
        <v>66</v>
      </c>
    </row>
    <row r="3" spans="1:9">
      <c r="A3" s="122" t="s">
        <v>119</v>
      </c>
      <c r="E3" s="65"/>
      <c r="F3" s="117"/>
      <c r="G3" s="117"/>
      <c r="H3" s="117"/>
      <c r="I3" s="117"/>
    </row>
    <row r="4" spans="1:9" ht="30">
      <c r="A4" s="123" t="s">
        <v>120</v>
      </c>
      <c r="E4" s="65">
        <v>0</v>
      </c>
      <c r="F4" s="117"/>
      <c r="G4" s="117">
        <v>1</v>
      </c>
      <c r="H4" s="118" t="s">
        <v>122</v>
      </c>
      <c r="I4" s="118"/>
    </row>
    <row r="5" spans="1:9" ht="30">
      <c r="A5" s="123" t="s">
        <v>123</v>
      </c>
      <c r="E5" s="65">
        <v>0</v>
      </c>
      <c r="F5" s="117"/>
      <c r="G5" s="117">
        <v>1</v>
      </c>
      <c r="H5" s="118" t="s">
        <v>125</v>
      </c>
      <c r="I5" s="118" t="s">
        <v>124</v>
      </c>
    </row>
    <row r="6" spans="1:9" ht="30">
      <c r="A6" s="123" t="s">
        <v>126</v>
      </c>
      <c r="E6" s="65">
        <v>0</v>
      </c>
      <c r="F6" s="117"/>
      <c r="G6" s="117">
        <v>2</v>
      </c>
      <c r="H6" s="118" t="s">
        <v>128</v>
      </c>
      <c r="I6" s="119" t="s">
        <v>127</v>
      </c>
    </row>
    <row r="7" spans="1:9">
      <c r="A7" s="123" t="s">
        <v>129</v>
      </c>
      <c r="E7" s="65"/>
      <c r="F7" s="117"/>
      <c r="G7" s="117">
        <v>2</v>
      </c>
      <c r="H7" s="119"/>
      <c r="I7" s="119"/>
    </row>
    <row r="8" spans="1:9">
      <c r="A8" s="122" t="s">
        <v>130</v>
      </c>
      <c r="E8" s="65"/>
      <c r="F8" s="117"/>
      <c r="G8" s="117"/>
      <c r="H8" s="119"/>
      <c r="I8" s="119"/>
    </row>
    <row r="9" spans="1:9" ht="45">
      <c r="A9" s="123" t="s">
        <v>131</v>
      </c>
      <c r="C9" t="s">
        <v>136</v>
      </c>
      <c r="D9">
        <v>6</v>
      </c>
      <c r="E9" s="65">
        <v>1594</v>
      </c>
      <c r="F9" s="117"/>
      <c r="G9" s="117">
        <v>1</v>
      </c>
      <c r="H9" s="118" t="s">
        <v>134</v>
      </c>
      <c r="I9" s="119" t="s">
        <v>133</v>
      </c>
    </row>
    <row r="10" spans="1:9" ht="30">
      <c r="A10" s="123" t="s">
        <v>138</v>
      </c>
      <c r="C10" t="s">
        <v>136</v>
      </c>
      <c r="D10">
        <v>5</v>
      </c>
      <c r="E10" s="65">
        <v>564.5</v>
      </c>
      <c r="F10" s="117"/>
      <c r="G10" s="117">
        <v>1</v>
      </c>
      <c r="H10" s="118" t="s">
        <v>139</v>
      </c>
      <c r="I10" s="119"/>
    </row>
    <row r="11" spans="1:9">
      <c r="A11" s="123"/>
      <c r="E11" s="65"/>
      <c r="F11" s="117"/>
      <c r="G11" s="117"/>
      <c r="H11" s="119"/>
      <c r="I11" s="119"/>
    </row>
    <row r="12" spans="1:9">
      <c r="A12" s="123"/>
      <c r="E12" s="65"/>
      <c r="F12" s="117"/>
      <c r="G12" s="117"/>
      <c r="H12" s="119"/>
      <c r="I12" s="119"/>
    </row>
    <row r="13" spans="1:9">
      <c r="A13" s="123"/>
      <c r="E13" s="65"/>
      <c r="F13" s="117"/>
      <c r="G13" s="117"/>
      <c r="H13" s="119"/>
      <c r="I13" s="119"/>
    </row>
    <row r="14" spans="1:9">
      <c r="A14" s="123"/>
      <c r="E14" s="65"/>
      <c r="F14" s="117"/>
      <c r="G14" s="117"/>
      <c r="H14" s="119"/>
      <c r="I14" s="119"/>
    </row>
    <row r="15" spans="1:9">
      <c r="A15" s="8" t="s">
        <v>116</v>
      </c>
      <c r="B15" s="8"/>
      <c r="C15" s="8"/>
      <c r="D15" s="8"/>
    </row>
    <row r="16" spans="1:9">
      <c r="A16" s="120" t="s">
        <v>117</v>
      </c>
      <c r="B16" s="121" t="s">
        <v>29</v>
      </c>
      <c r="C16" s="121" t="s">
        <v>135</v>
      </c>
      <c r="D16" s="121" t="s">
        <v>137</v>
      </c>
      <c r="E16" s="121" t="s">
        <v>132</v>
      </c>
      <c r="F16" s="121" t="s">
        <v>111</v>
      </c>
      <c r="G16" s="121" t="s">
        <v>9</v>
      </c>
      <c r="H16" s="121" t="s">
        <v>121</v>
      </c>
      <c r="I16" s="121" t="s">
        <v>66</v>
      </c>
    </row>
    <row r="17" spans="1:9">
      <c r="A17" s="122" t="s">
        <v>119</v>
      </c>
      <c r="E17" s="65"/>
      <c r="F17" s="117"/>
      <c r="G17" s="117"/>
      <c r="H17" s="117"/>
      <c r="I17" s="117"/>
    </row>
    <row r="18" spans="1:9">
      <c r="A18" s="123" t="s">
        <v>140</v>
      </c>
      <c r="E18" s="65"/>
      <c r="F18" s="117"/>
      <c r="G18" s="117"/>
      <c r="H18" s="118"/>
      <c r="I18" s="118"/>
    </row>
    <row r="19" spans="1:9">
      <c r="A19" s="122" t="s">
        <v>130</v>
      </c>
      <c r="E19" s="65"/>
      <c r="F19" s="117"/>
      <c r="G19" s="117"/>
      <c r="H19" s="119"/>
      <c r="I19" s="119"/>
    </row>
    <row r="20" spans="1:9" ht="30">
      <c r="A20" s="123" t="s">
        <v>141</v>
      </c>
      <c r="C20" t="s">
        <v>136</v>
      </c>
      <c r="D20">
        <v>6</v>
      </c>
      <c r="E20" s="65">
        <f>38862/68</f>
        <v>571.5</v>
      </c>
      <c r="F20" s="117"/>
      <c r="G20" s="117">
        <v>68</v>
      </c>
      <c r="H20" s="118" t="s">
        <v>170</v>
      </c>
      <c r="I20" s="118" t="s">
        <v>171</v>
      </c>
    </row>
    <row r="21" spans="1:9" ht="30">
      <c r="A21" s="123" t="s">
        <v>142</v>
      </c>
      <c r="D21">
        <v>6</v>
      </c>
      <c r="E21" s="65">
        <f>11322/68</f>
        <v>166.5</v>
      </c>
      <c r="F21" s="117"/>
      <c r="G21" s="117">
        <v>68</v>
      </c>
      <c r="H21" s="118" t="s">
        <v>144</v>
      </c>
      <c r="I21" s="119" t="s">
        <v>143</v>
      </c>
    </row>
    <row r="22" spans="1:9" ht="30">
      <c r="A22" s="123" t="s">
        <v>64</v>
      </c>
      <c r="D22">
        <v>6</v>
      </c>
      <c r="E22" s="65">
        <f>155142/68</f>
        <v>2281.5</v>
      </c>
      <c r="F22" s="117"/>
      <c r="G22" s="117">
        <v>68</v>
      </c>
      <c r="H22" s="118" t="s">
        <v>145</v>
      </c>
      <c r="I22" s="119"/>
    </row>
    <row r="23" spans="1:9" ht="30">
      <c r="A23" s="123" t="s">
        <v>65</v>
      </c>
      <c r="D23">
        <v>6</v>
      </c>
      <c r="E23" s="65">
        <f>279684/68</f>
        <v>4113</v>
      </c>
      <c r="F23" s="117"/>
      <c r="G23" s="117">
        <v>68</v>
      </c>
      <c r="H23" s="118" t="s">
        <v>145</v>
      </c>
      <c r="I23" s="119"/>
    </row>
    <row r="24" spans="1:9" ht="30">
      <c r="A24" s="123" t="s">
        <v>138</v>
      </c>
      <c r="D24">
        <v>5</v>
      </c>
      <c r="E24" s="65">
        <f>1693.5/3</f>
        <v>564.5</v>
      </c>
      <c r="F24" s="117"/>
      <c r="G24" s="117">
        <v>3</v>
      </c>
      <c r="H24" s="118" t="s">
        <v>139</v>
      </c>
      <c r="I24" s="119"/>
    </row>
    <row r="25" spans="1:9">
      <c r="A25" s="123"/>
      <c r="E25" s="65"/>
      <c r="F25" s="117"/>
      <c r="G25" s="117"/>
      <c r="H25" s="119"/>
      <c r="I25" s="119"/>
    </row>
    <row r="28" spans="1:9">
      <c r="A28" s="8" t="s">
        <v>112</v>
      </c>
      <c r="H28" s="8"/>
    </row>
    <row r="29" spans="1:9">
      <c r="A29" s="78" t="s">
        <v>113</v>
      </c>
      <c r="E29" s="56" t="s">
        <v>9</v>
      </c>
      <c r="F29" s="56" t="s">
        <v>115</v>
      </c>
    </row>
    <row r="30" spans="1:9">
      <c r="A30" s="45" t="s">
        <v>114</v>
      </c>
      <c r="E30" s="57">
        <v>108</v>
      </c>
      <c r="F30" s="57" t="s">
        <v>118</v>
      </c>
    </row>
    <row r="31" spans="1:9">
      <c r="A31" s="45"/>
      <c r="E31" s="57"/>
      <c r="F31" s="57"/>
    </row>
    <row r="35" spans="1:6">
      <c r="A35" s="8" t="s">
        <v>155</v>
      </c>
    </row>
    <row r="36" spans="1:6">
      <c r="A36" s="78" t="s">
        <v>156</v>
      </c>
      <c r="E36" s="56" t="s">
        <v>9</v>
      </c>
      <c r="F36" s="56"/>
    </row>
    <row r="37" spans="1:6">
      <c r="A37" s="45" t="s">
        <v>146</v>
      </c>
      <c r="E37" s="57"/>
      <c r="F37" s="57"/>
    </row>
    <row r="38" spans="1:6">
      <c r="A38" s="45" t="s">
        <v>147</v>
      </c>
      <c r="E38" s="57"/>
      <c r="F38" s="57"/>
    </row>
    <row r="39" spans="1:6">
      <c r="A39" s="45" t="s">
        <v>148</v>
      </c>
      <c r="E39" s="57"/>
      <c r="F39" s="57"/>
    </row>
    <row r="40" spans="1:6">
      <c r="A40" s="45" t="s">
        <v>149</v>
      </c>
      <c r="E40" s="57"/>
      <c r="F40" s="57"/>
    </row>
    <row r="41" spans="1:6">
      <c r="A41" s="45" t="s">
        <v>150</v>
      </c>
      <c r="E41" s="57"/>
      <c r="F41" s="57"/>
    </row>
    <row r="42" spans="1:6">
      <c r="A42" s="45" t="s">
        <v>151</v>
      </c>
      <c r="E42" s="57"/>
      <c r="F42" s="57"/>
    </row>
    <row r="43" spans="1:6">
      <c r="A43" s="45" t="s">
        <v>152</v>
      </c>
      <c r="E43" s="57"/>
      <c r="F43" s="57"/>
    </row>
    <row r="44" spans="1:6">
      <c r="A44" s="45" t="s">
        <v>153</v>
      </c>
      <c r="E44" s="57"/>
      <c r="F44" s="57"/>
    </row>
    <row r="45" spans="1:6">
      <c r="A45" s="45" t="s">
        <v>154</v>
      </c>
      <c r="E45" s="57"/>
      <c r="F45" s="57"/>
    </row>
    <row r="46" spans="1:6">
      <c r="A46" s="45"/>
      <c r="E46" s="57"/>
      <c r="F46" s="57"/>
    </row>
    <row r="47" spans="1:6">
      <c r="A47" s="45"/>
      <c r="E47" s="58"/>
      <c r="F47" s="58"/>
    </row>
    <row r="49" spans="1:9">
      <c r="A49" s="8" t="s">
        <v>157</v>
      </c>
      <c r="B49" s="8"/>
      <c r="C49" s="8"/>
      <c r="D49" s="8"/>
    </row>
    <row r="50" spans="1:9">
      <c r="A50" s="120" t="s">
        <v>110</v>
      </c>
      <c r="B50" s="121" t="s">
        <v>29</v>
      </c>
      <c r="C50" s="121" t="s">
        <v>135</v>
      </c>
      <c r="D50" s="121" t="s">
        <v>137</v>
      </c>
      <c r="E50" s="121" t="s">
        <v>132</v>
      </c>
      <c r="F50" s="121" t="s">
        <v>111</v>
      </c>
      <c r="G50" s="121" t="s">
        <v>9</v>
      </c>
      <c r="H50" s="121" t="s">
        <v>121</v>
      </c>
      <c r="I50" s="121" t="s">
        <v>66</v>
      </c>
    </row>
    <row r="51" spans="1:9">
      <c r="A51" s="122" t="s">
        <v>119</v>
      </c>
      <c r="E51" s="65"/>
      <c r="F51" s="117"/>
      <c r="G51" s="117"/>
      <c r="H51" s="117"/>
      <c r="I51" s="117"/>
    </row>
    <row r="52" spans="1:9" ht="30">
      <c r="A52" s="67" t="s">
        <v>166</v>
      </c>
      <c r="E52" s="65">
        <f>68/38862</f>
        <v>1.7497812773403325E-3</v>
      </c>
      <c r="F52" s="117"/>
      <c r="G52" s="117"/>
      <c r="H52" s="118" t="s">
        <v>168</v>
      </c>
      <c r="I52" s="119" t="s">
        <v>169</v>
      </c>
    </row>
    <row r="53" spans="1:9" ht="45">
      <c r="A53" s="67" t="s">
        <v>167</v>
      </c>
      <c r="E53" s="65">
        <f>5*E71</f>
        <v>17150</v>
      </c>
      <c r="F53" s="117"/>
      <c r="G53" s="117"/>
      <c r="H53" s="118" t="s">
        <v>172</v>
      </c>
      <c r="I53" s="119"/>
    </row>
    <row r="54" spans="1:9" ht="45">
      <c r="A54" s="123" t="s">
        <v>123</v>
      </c>
      <c r="E54" s="65">
        <v>0</v>
      </c>
      <c r="F54" s="117"/>
      <c r="G54" s="117"/>
      <c r="H54" s="118" t="s">
        <v>159</v>
      </c>
      <c r="I54" s="118"/>
    </row>
    <row r="55" spans="1:9">
      <c r="A55" s="122" t="s">
        <v>130</v>
      </c>
      <c r="E55" s="65"/>
      <c r="F55" s="117"/>
      <c r="G55" s="117"/>
      <c r="H55" s="119"/>
      <c r="I55" s="119"/>
    </row>
    <row r="56" spans="1:9" ht="30">
      <c r="A56" s="123" t="s">
        <v>77</v>
      </c>
      <c r="E56" s="65">
        <v>4403</v>
      </c>
      <c r="F56" s="117"/>
      <c r="G56" s="117"/>
      <c r="H56" s="118" t="s">
        <v>161</v>
      </c>
      <c r="I56" s="119" t="s">
        <v>160</v>
      </c>
    </row>
    <row r="57" spans="1:9">
      <c r="A57" s="123" t="s">
        <v>162</v>
      </c>
      <c r="E57" s="65">
        <v>160</v>
      </c>
      <c r="F57" s="117"/>
      <c r="G57" s="117"/>
      <c r="H57" s="118"/>
      <c r="I57" s="119" t="s">
        <v>163</v>
      </c>
    </row>
    <row r="58" spans="1:9" ht="45">
      <c r="A58" s="123" t="s">
        <v>164</v>
      </c>
      <c r="E58" s="65">
        <v>3430</v>
      </c>
      <c r="F58" s="117"/>
      <c r="G58" s="117">
        <v>7</v>
      </c>
      <c r="H58" s="118" t="s">
        <v>165</v>
      </c>
      <c r="I58" s="119"/>
    </row>
    <row r="59" spans="1:9">
      <c r="A59" s="123"/>
      <c r="E59" s="65"/>
      <c r="F59" s="117"/>
      <c r="G59" s="117"/>
      <c r="H59" s="118"/>
      <c r="I59" s="119"/>
    </row>
    <row r="60" spans="1:9">
      <c r="A60" s="123"/>
      <c r="E60" s="65"/>
      <c r="F60" s="117"/>
      <c r="G60" s="117"/>
      <c r="H60" s="118"/>
      <c r="I60" s="119"/>
    </row>
    <row r="61" spans="1:9">
      <c r="A61" s="123"/>
      <c r="E61" s="65"/>
      <c r="F61" s="117"/>
      <c r="G61" s="117"/>
      <c r="H61" s="119"/>
      <c r="I61" s="119"/>
    </row>
    <row r="64" spans="1:9">
      <c r="A64" s="8" t="s">
        <v>157</v>
      </c>
      <c r="B64" s="8"/>
      <c r="C64" s="8"/>
      <c r="D64" s="8"/>
    </row>
    <row r="65" spans="1:9">
      <c r="A65" s="120" t="s">
        <v>117</v>
      </c>
      <c r="B65" s="121" t="s">
        <v>29</v>
      </c>
      <c r="C65" s="121" t="s">
        <v>135</v>
      </c>
      <c r="D65" s="121" t="s">
        <v>137</v>
      </c>
      <c r="E65" s="121" t="s">
        <v>132</v>
      </c>
      <c r="F65" s="121" t="s">
        <v>111</v>
      </c>
      <c r="G65" s="121" t="s">
        <v>9</v>
      </c>
      <c r="H65" s="121" t="s">
        <v>121</v>
      </c>
      <c r="I65" s="121" t="s">
        <v>66</v>
      </c>
    </row>
    <row r="66" spans="1:9">
      <c r="A66" s="122" t="s">
        <v>119</v>
      </c>
      <c r="E66" s="65"/>
      <c r="F66" s="117"/>
      <c r="G66" s="117"/>
      <c r="H66" s="117"/>
      <c r="I66" s="117"/>
    </row>
    <row r="67" spans="1:9" ht="45">
      <c r="A67" s="123" t="s">
        <v>158</v>
      </c>
      <c r="E67" s="65"/>
      <c r="F67" s="117"/>
      <c r="G67" s="117"/>
      <c r="H67" s="118" t="s">
        <v>159</v>
      </c>
      <c r="I67" s="118"/>
    </row>
    <row r="68" spans="1:9">
      <c r="A68" s="122" t="s">
        <v>130</v>
      </c>
      <c r="E68" s="65"/>
      <c r="F68" s="117"/>
      <c r="G68" s="117"/>
      <c r="H68" s="119"/>
      <c r="I68" s="119"/>
    </row>
    <row r="69" spans="1:9" ht="30">
      <c r="A69" s="123" t="s">
        <v>77</v>
      </c>
      <c r="E69" s="65">
        <v>4403</v>
      </c>
      <c r="F69" s="117"/>
      <c r="G69" s="117"/>
      <c r="H69" s="118" t="s">
        <v>161</v>
      </c>
      <c r="I69" s="119" t="s">
        <v>160</v>
      </c>
    </row>
    <row r="70" spans="1:9">
      <c r="A70" s="123" t="s">
        <v>162</v>
      </c>
      <c r="E70" s="65">
        <v>160</v>
      </c>
      <c r="F70" s="117"/>
      <c r="G70" s="117"/>
      <c r="H70" s="118"/>
      <c r="I70" s="119" t="s">
        <v>163</v>
      </c>
    </row>
    <row r="71" spans="1:9" ht="45">
      <c r="A71" s="123" t="s">
        <v>164</v>
      </c>
      <c r="E71" s="65">
        <v>3430</v>
      </c>
      <c r="F71" s="117"/>
      <c r="G71" s="117"/>
      <c r="H71" s="118" t="s">
        <v>165</v>
      </c>
      <c r="I71" s="119"/>
    </row>
    <row r="72" spans="1:9">
      <c r="A72" s="123"/>
      <c r="E72" s="65"/>
      <c r="F72" s="117"/>
      <c r="G72" s="117"/>
      <c r="H72" s="118"/>
      <c r="I72" s="119"/>
    </row>
    <row r="73" spans="1:9">
      <c r="A73" s="123"/>
      <c r="E73" s="65"/>
      <c r="F73" s="117"/>
      <c r="G73" s="117"/>
      <c r="H73" s="118"/>
      <c r="I73" s="119"/>
    </row>
    <row r="74" spans="1:9">
      <c r="A74" s="123"/>
      <c r="E74" s="65"/>
      <c r="F74" s="117"/>
      <c r="G74" s="117"/>
      <c r="H74" s="119"/>
      <c r="I74" s="119"/>
    </row>
  </sheetData>
  <pageMargins left="0.7" right="0.7" top="0.75" bottom="0.75" header="0.3" footer="0.3"/>
  <pageSetup orientation="portrait" r:id="rId1"/>
  <tableParts count="4">
    <tablePart r:id="rId2"/>
    <tablePart r:id="rId3"/>
    <tablePart r:id="rId4"/>
    <tablePart r:id="rId5"/>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2923F-C7B8-40D9-A4C8-B933E25DA92B}">
  <sheetPr codeName="Sheet26"/>
  <dimension ref="A1:S35"/>
  <sheetViews>
    <sheetView topLeftCell="A4" workbookViewId="0">
      <selection activeCell="D35" sqref="D35"/>
    </sheetView>
  </sheetViews>
  <sheetFormatPr defaultRowHeight="15"/>
  <cols>
    <col min="2" max="2" width="11.28515625" bestFit="1" customWidth="1"/>
    <col min="3" max="3" width="16.28515625" bestFit="1" customWidth="1"/>
    <col min="4" max="4" width="14.28515625" bestFit="1" customWidth="1"/>
    <col min="7" max="7" width="17.42578125" bestFit="1" customWidth="1"/>
    <col min="8" max="8" width="13.42578125" bestFit="1" customWidth="1"/>
    <col min="9" max="9" width="13.7109375" bestFit="1" customWidth="1"/>
    <col min="10" max="10" width="12.5703125" bestFit="1" customWidth="1"/>
    <col min="15" max="15" width="24.140625" customWidth="1"/>
    <col min="16" max="16" width="11.5703125" bestFit="1" customWidth="1"/>
    <col min="17" max="17" width="10.5703125" bestFit="1" customWidth="1"/>
    <col min="18" max="18" width="13.28515625" bestFit="1" customWidth="1"/>
    <col min="19" max="19" width="11.5703125" bestFit="1" customWidth="1"/>
  </cols>
  <sheetData>
    <row r="1" spans="1:19">
      <c r="A1" t="s">
        <v>291</v>
      </c>
      <c r="B1" t="s">
        <v>292</v>
      </c>
      <c r="C1" t="s">
        <v>9</v>
      </c>
      <c r="D1" t="s">
        <v>293</v>
      </c>
    </row>
    <row r="2" spans="1:19" ht="15.75">
      <c r="A2" t="s">
        <v>294</v>
      </c>
      <c r="B2" s="27">
        <v>1650</v>
      </c>
      <c r="C2">
        <v>30</v>
      </c>
      <c r="D2" s="27">
        <f>B2*C2</f>
        <v>49500</v>
      </c>
      <c r="E2" s="204"/>
      <c r="F2" s="204"/>
      <c r="G2" s="204"/>
      <c r="H2" s="204"/>
      <c r="I2" s="204"/>
      <c r="J2" s="204"/>
      <c r="K2" s="204"/>
      <c r="L2" s="204"/>
      <c r="M2" s="204"/>
      <c r="O2" t="s">
        <v>305</v>
      </c>
    </row>
    <row r="3" spans="1:19">
      <c r="A3" t="s">
        <v>295</v>
      </c>
      <c r="B3" s="27">
        <v>1650</v>
      </c>
      <c r="C3">
        <v>29</v>
      </c>
      <c r="D3" s="27">
        <f>B3*C3</f>
        <v>47850</v>
      </c>
      <c r="E3" s="205"/>
      <c r="F3" s="206"/>
      <c r="G3" s="206" t="s">
        <v>301</v>
      </c>
      <c r="H3" s="219">
        <v>4</v>
      </c>
      <c r="I3" s="206"/>
      <c r="J3" s="206"/>
      <c r="K3" s="206"/>
      <c r="L3" s="206"/>
      <c r="M3" s="206"/>
    </row>
    <row r="4" spans="1:19">
      <c r="C4" s="207" t="s">
        <v>296</v>
      </c>
      <c r="D4" s="27">
        <f>SUM(D2:D3)</f>
        <v>97350</v>
      </c>
      <c r="E4" s="205"/>
      <c r="F4" s="207"/>
      <c r="G4" s="208"/>
      <c r="H4" s="27"/>
      <c r="I4" s="207"/>
      <c r="J4" s="209"/>
      <c r="K4" s="209"/>
      <c r="L4" s="209"/>
      <c r="M4" s="209"/>
    </row>
    <row r="5" spans="1:19">
      <c r="C5" s="210"/>
      <c r="D5" s="27"/>
      <c r="E5" s="205"/>
      <c r="F5" s="210"/>
      <c r="G5" s="210"/>
      <c r="H5" s="27"/>
      <c r="I5" s="210"/>
      <c r="J5" s="210"/>
      <c r="K5" s="210"/>
      <c r="L5" s="210"/>
      <c r="M5" s="210"/>
      <c r="O5" t="s">
        <v>12</v>
      </c>
      <c r="P5" t="s">
        <v>308</v>
      </c>
      <c r="Q5" t="s">
        <v>306</v>
      </c>
      <c r="R5" t="s">
        <v>309</v>
      </c>
      <c r="S5" t="s">
        <v>23</v>
      </c>
    </row>
    <row r="6" spans="1:19">
      <c r="C6" s="210"/>
      <c r="D6" s="27"/>
      <c r="E6" s="205"/>
      <c r="F6" s="210"/>
      <c r="H6" s="27"/>
      <c r="I6" s="211"/>
      <c r="J6" s="211"/>
      <c r="K6" s="212"/>
      <c r="L6" s="213"/>
      <c r="M6" s="210"/>
      <c r="O6" t="s">
        <v>307</v>
      </c>
      <c r="P6" s="27">
        <v>215</v>
      </c>
      <c r="Q6">
        <v>60</v>
      </c>
      <c r="R6">
        <v>2</v>
      </c>
      <c r="S6" s="27">
        <f>Q6*P6*R6</f>
        <v>25800</v>
      </c>
    </row>
    <row r="7" spans="1:19">
      <c r="C7" s="210"/>
      <c r="D7" s="27"/>
      <c r="E7" s="205"/>
      <c r="F7" s="210"/>
      <c r="H7" s="27"/>
      <c r="I7" s="214"/>
      <c r="J7" s="214"/>
      <c r="K7" s="215"/>
      <c r="L7" s="216"/>
      <c r="M7" s="210"/>
      <c r="O7" t="s">
        <v>20</v>
      </c>
      <c r="P7" s="27">
        <v>20</v>
      </c>
      <c r="Q7">
        <v>400</v>
      </c>
      <c r="R7">
        <v>2</v>
      </c>
      <c r="S7" s="27">
        <f>Q7*P7*R7</f>
        <v>16000</v>
      </c>
    </row>
    <row r="8" spans="1:19">
      <c r="A8" t="s">
        <v>6</v>
      </c>
      <c r="C8" s="210" t="s">
        <v>12</v>
      </c>
      <c r="D8" s="27"/>
      <c r="E8" s="205"/>
      <c r="F8" s="210"/>
      <c r="H8" s="27" t="s">
        <v>304</v>
      </c>
      <c r="I8" s="27" t="s">
        <v>237</v>
      </c>
      <c r="J8" s="27" t="s">
        <v>7</v>
      </c>
      <c r="K8" s="215"/>
      <c r="L8" s="216"/>
      <c r="M8" s="210"/>
    </row>
    <row r="9" spans="1:19">
      <c r="C9" s="210" t="s">
        <v>313</v>
      </c>
      <c r="D9" s="27">
        <v>7200</v>
      </c>
      <c r="E9" s="205"/>
      <c r="F9" s="210"/>
      <c r="G9" t="s">
        <v>256</v>
      </c>
      <c r="H9" s="54">
        <f>D4</f>
        <v>97350</v>
      </c>
      <c r="I9" s="54">
        <f>$D$31*H9/SUM($H$9:$H$11)</f>
        <v>8031.6141741212041</v>
      </c>
      <c r="J9" s="54">
        <f>SUM(H9:I9)</f>
        <v>105381.6141741212</v>
      </c>
      <c r="L9" s="213"/>
      <c r="M9" s="210"/>
      <c r="R9" t="s">
        <v>310</v>
      </c>
      <c r="S9" s="27">
        <v>5130</v>
      </c>
    </row>
    <row r="10" spans="1:19">
      <c r="C10" s="210"/>
      <c r="D10" s="27">
        <v>1200</v>
      </c>
      <c r="E10" s="205"/>
      <c r="F10" s="210"/>
      <c r="G10" t="s">
        <v>302</v>
      </c>
      <c r="H10" s="54">
        <f>D21</f>
        <v>10105</v>
      </c>
      <c r="I10" s="54">
        <f t="shared" ref="I10:I11" si="0">$D$31*H10/SUM($H$9:$H$11)</f>
        <v>833.68732644576039</v>
      </c>
      <c r="J10" s="54">
        <f t="shared" ref="J10:J11" si="1">SUM(H10:I10)</f>
        <v>10938.687326445761</v>
      </c>
      <c r="L10" s="213"/>
      <c r="M10" s="210"/>
      <c r="R10" t="s">
        <v>311</v>
      </c>
      <c r="S10" s="27">
        <v>2565</v>
      </c>
    </row>
    <row r="11" spans="1:19">
      <c r="C11" s="210"/>
      <c r="D11" s="27">
        <v>200</v>
      </c>
      <c r="E11" s="205"/>
      <c r="F11" s="210"/>
      <c r="G11" t="s">
        <v>303</v>
      </c>
      <c r="H11" s="54">
        <f>SUM(D27:D28)</f>
        <v>11600</v>
      </c>
      <c r="I11" s="54">
        <f t="shared" si="0"/>
        <v>957.02849943303511</v>
      </c>
      <c r="J11" s="54">
        <f t="shared" si="1"/>
        <v>12557.028499433036</v>
      </c>
      <c r="L11" s="213"/>
      <c r="M11" s="210"/>
    </row>
    <row r="12" spans="1:19">
      <c r="C12" s="210"/>
      <c r="D12" s="27">
        <v>99</v>
      </c>
      <c r="E12" s="205"/>
      <c r="F12" s="210"/>
      <c r="G12" s="214"/>
      <c r="H12" s="214"/>
      <c r="I12" s="214"/>
      <c r="J12" s="214"/>
      <c r="K12" s="217"/>
      <c r="L12" s="218"/>
      <c r="M12" s="210"/>
      <c r="R12" t="s">
        <v>312</v>
      </c>
      <c r="S12" s="54">
        <f>SUM(S6:S10)</f>
        <v>49495</v>
      </c>
    </row>
    <row r="13" spans="1:19">
      <c r="C13" s="207"/>
      <c r="D13" s="27">
        <v>10</v>
      </c>
      <c r="E13" s="207"/>
      <c r="F13" s="207"/>
      <c r="G13" s="214"/>
      <c r="H13" s="214"/>
      <c r="I13" s="214"/>
      <c r="J13" s="214"/>
      <c r="K13" s="217"/>
      <c r="L13" s="218"/>
      <c r="M13" s="207"/>
      <c r="R13" t="s">
        <v>67</v>
      </c>
      <c r="S13" s="27">
        <v>4083</v>
      </c>
    </row>
    <row r="14" spans="1:19">
      <c r="D14" s="27">
        <v>20</v>
      </c>
      <c r="R14" t="s">
        <v>296</v>
      </c>
      <c r="S14" s="54">
        <v>53578</v>
      </c>
    </row>
    <row r="15" spans="1:19">
      <c r="D15" s="27">
        <v>10</v>
      </c>
    </row>
    <row r="16" spans="1:19">
      <c r="D16" s="27">
        <v>600</v>
      </c>
    </row>
    <row r="17" spans="1:18">
      <c r="D17" s="27">
        <v>400</v>
      </c>
    </row>
    <row r="18" spans="1:18">
      <c r="D18" s="27">
        <v>160</v>
      </c>
    </row>
    <row r="19" spans="1:18">
      <c r="D19" s="27">
        <v>200</v>
      </c>
    </row>
    <row r="20" spans="1:18">
      <c r="C20" t="s">
        <v>297</v>
      </c>
      <c r="D20" s="27">
        <v>6</v>
      </c>
      <c r="P20" s="27" t="s">
        <v>304</v>
      </c>
      <c r="Q20" s="27" t="s">
        <v>237</v>
      </c>
      <c r="R20" s="27" t="s">
        <v>7</v>
      </c>
    </row>
    <row r="21" spans="1:18">
      <c r="C21" t="s">
        <v>298</v>
      </c>
      <c r="D21" s="27">
        <f>SUM(D9:D20)</f>
        <v>10105</v>
      </c>
      <c r="O21" t="s">
        <v>302</v>
      </c>
      <c r="P21" s="54">
        <f>SUM(S6:S7)</f>
        <v>41800</v>
      </c>
      <c r="Q21" s="54">
        <f>$S$13*P21/SUM($P$21:$P$22)</f>
        <v>3448.2149712092132</v>
      </c>
      <c r="R21" s="54">
        <f>SUM(P21:Q21)</f>
        <v>45248.214971209214</v>
      </c>
    </row>
    <row r="22" spans="1:18">
      <c r="O22" t="s">
        <v>303</v>
      </c>
      <c r="P22" s="54">
        <f>SUM(S9:S10)</f>
        <v>7695</v>
      </c>
      <c r="Q22" s="54">
        <f>$S$13*P22/SUM($P$21:$P$22)</f>
        <v>634.7850287907869</v>
      </c>
      <c r="R22" s="54">
        <f t="shared" ref="R22" si="2">SUM(P22:Q22)</f>
        <v>8329.7850287907877</v>
      </c>
    </row>
    <row r="23" spans="1:18">
      <c r="C23" t="s">
        <v>299</v>
      </c>
      <c r="D23" s="54">
        <f>D21+D4</f>
        <v>107455</v>
      </c>
    </row>
    <row r="24" spans="1:18">
      <c r="D24" s="54"/>
    </row>
    <row r="25" spans="1:18">
      <c r="D25" s="54"/>
    </row>
    <row r="27" spans="1:18">
      <c r="A27" t="s">
        <v>21</v>
      </c>
      <c r="D27" s="27">
        <v>5800</v>
      </c>
    </row>
    <row r="28" spans="1:18">
      <c r="A28" t="s">
        <v>300</v>
      </c>
      <c r="D28" s="27">
        <v>5800</v>
      </c>
    </row>
    <row r="30" spans="1:18">
      <c r="C30" t="s">
        <v>299</v>
      </c>
      <c r="D30" s="54">
        <f>SUM(D27:D28,D23)</f>
        <v>119055</v>
      </c>
    </row>
    <row r="31" spans="1:18">
      <c r="C31" t="s">
        <v>67</v>
      </c>
      <c r="D31" s="54">
        <v>9822.33</v>
      </c>
    </row>
    <row r="32" spans="1:18">
      <c r="C32" t="s">
        <v>7</v>
      </c>
      <c r="D32" s="54">
        <f>SUM(D30:D31)</f>
        <v>128877.33</v>
      </c>
    </row>
    <row r="34" spans="4:4">
      <c r="D34">
        <v>109000</v>
      </c>
    </row>
    <row r="35" spans="4:4">
      <c r="D35" s="27">
        <f>D32+D34</f>
        <v>237877.33000000002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662282-B083-471F-81F4-76D05BB7D458}">
  <sheetPr codeName="Sheet38"/>
  <dimension ref="B2:F30"/>
  <sheetViews>
    <sheetView showGridLines="0" workbookViewId="0">
      <selection activeCell="H15" sqref="H15"/>
    </sheetView>
  </sheetViews>
  <sheetFormatPr defaultRowHeight="15"/>
  <cols>
    <col min="4" max="4" width="10.7109375" bestFit="1" customWidth="1"/>
    <col min="5" max="5" width="14.28515625" bestFit="1" customWidth="1"/>
    <col min="6" max="6" width="14.140625" bestFit="1" customWidth="1"/>
  </cols>
  <sheetData>
    <row r="2" spans="2:6">
      <c r="E2" s="262" t="s">
        <v>364</v>
      </c>
      <c r="F2" s="263"/>
    </row>
    <row r="3" spans="2:6">
      <c r="E3" s="264" t="s">
        <v>360</v>
      </c>
      <c r="F3" s="265">
        <v>5</v>
      </c>
    </row>
    <row r="4" spans="2:6">
      <c r="E4" s="266" t="s">
        <v>361</v>
      </c>
      <c r="F4" s="267">
        <v>2</v>
      </c>
    </row>
    <row r="5" spans="2:6">
      <c r="B5" s="241" t="s">
        <v>352</v>
      </c>
      <c r="C5" s="242"/>
      <c r="D5" s="242"/>
      <c r="E5" s="242"/>
      <c r="F5" s="243"/>
    </row>
    <row r="6" spans="2:6">
      <c r="B6" s="244" t="s">
        <v>358</v>
      </c>
      <c r="C6" s="245" t="s">
        <v>359</v>
      </c>
      <c r="D6" s="245" t="s">
        <v>362</v>
      </c>
      <c r="E6" s="245" t="s">
        <v>363</v>
      </c>
      <c r="F6" s="246" t="s">
        <v>7</v>
      </c>
    </row>
    <row r="7" spans="2:6">
      <c r="B7" s="244">
        <v>3</v>
      </c>
      <c r="C7" s="245">
        <v>8</v>
      </c>
      <c r="D7" s="245">
        <f>C7*$F$3*$F$4</f>
        <v>80</v>
      </c>
      <c r="E7" s="245">
        <v>24</v>
      </c>
      <c r="F7" s="246">
        <f>SUM(D7:E7)</f>
        <v>104</v>
      </c>
    </row>
    <row r="8" spans="2:6">
      <c r="B8" s="244">
        <v>4</v>
      </c>
      <c r="C8" s="245">
        <v>24</v>
      </c>
      <c r="D8" s="245">
        <f>C8*$F$3*$F$4</f>
        <v>240</v>
      </c>
      <c r="E8" s="245">
        <v>40</v>
      </c>
      <c r="F8" s="246">
        <f t="shared" ref="F8:F9" si="0">SUM(D8:E8)</f>
        <v>280</v>
      </c>
    </row>
    <row r="9" spans="2:6">
      <c r="B9" s="244">
        <v>5</v>
      </c>
      <c r="C9" s="245">
        <v>20</v>
      </c>
      <c r="D9" s="245">
        <f>C9*$F$3*$F$4</f>
        <v>200</v>
      </c>
      <c r="E9" s="245"/>
      <c r="F9" s="246">
        <f t="shared" si="0"/>
        <v>200</v>
      </c>
    </row>
    <row r="10" spans="2:6">
      <c r="B10" s="244"/>
      <c r="C10" s="245"/>
      <c r="D10" s="245"/>
      <c r="E10" s="245" t="s">
        <v>324</v>
      </c>
      <c r="F10" s="246">
        <f>SUM(F7:F9)</f>
        <v>584</v>
      </c>
    </row>
    <row r="11" spans="2:6">
      <c r="B11" s="244"/>
      <c r="C11" s="245"/>
      <c r="D11" s="245"/>
      <c r="E11" s="245"/>
      <c r="F11" s="246"/>
    </row>
    <row r="12" spans="2:6">
      <c r="B12" s="244"/>
      <c r="C12" s="245"/>
      <c r="D12" s="245"/>
      <c r="E12" s="245"/>
      <c r="F12" s="246"/>
    </row>
    <row r="13" spans="2:6">
      <c r="B13" s="244"/>
      <c r="C13" s="245"/>
      <c r="D13" s="245" t="s">
        <v>367</v>
      </c>
      <c r="E13" s="245" t="s">
        <v>19</v>
      </c>
      <c r="F13" s="246" t="s">
        <v>368</v>
      </c>
    </row>
    <row r="14" spans="2:6">
      <c r="B14" s="244"/>
      <c r="C14" s="245"/>
      <c r="D14" s="245" t="s">
        <v>365</v>
      </c>
      <c r="E14" s="247" t="e">
        <f>#REF!</f>
        <v>#REF!</v>
      </c>
      <c r="F14" s="248" t="e">
        <f>(F10-E7)/E14</f>
        <v>#REF!</v>
      </c>
    </row>
    <row r="15" spans="2:6">
      <c r="B15" s="244"/>
      <c r="C15" s="245"/>
      <c r="D15" s="245" t="s">
        <v>366</v>
      </c>
      <c r="E15" s="247" t="e">
        <f>#REF!</f>
        <v>#REF!</v>
      </c>
      <c r="F15" s="248" t="e">
        <f>E8/E15</f>
        <v>#REF!</v>
      </c>
    </row>
    <row r="16" spans="2:6">
      <c r="B16" s="249"/>
      <c r="C16" s="250"/>
      <c r="D16" s="250"/>
      <c r="E16" s="250"/>
      <c r="F16" s="251"/>
    </row>
    <row r="19" spans="2:6">
      <c r="B19" s="252" t="s">
        <v>353</v>
      </c>
      <c r="C19" s="253"/>
      <c r="D19" s="253"/>
      <c r="E19" s="253"/>
      <c r="F19" s="254"/>
    </row>
    <row r="20" spans="2:6">
      <c r="B20" s="255" t="s">
        <v>358</v>
      </c>
      <c r="C20" s="256" t="s">
        <v>359</v>
      </c>
      <c r="D20" s="256" t="s">
        <v>362</v>
      </c>
      <c r="E20" s="256" t="s">
        <v>363</v>
      </c>
      <c r="F20" s="257" t="s">
        <v>7</v>
      </c>
    </row>
    <row r="21" spans="2:6">
      <c r="B21" s="255">
        <v>3</v>
      </c>
      <c r="C21" s="256">
        <v>8</v>
      </c>
      <c r="D21" s="256">
        <f>C21*$F$3*$F$4</f>
        <v>80</v>
      </c>
      <c r="E21" s="256">
        <f>3*F3*F4</f>
        <v>30</v>
      </c>
      <c r="F21" s="257">
        <f>SUM(D21:E21)</f>
        <v>110</v>
      </c>
    </row>
    <row r="22" spans="2:6">
      <c r="B22" s="255">
        <v>4</v>
      </c>
      <c r="C22" s="256">
        <v>24</v>
      </c>
      <c r="D22" s="256">
        <f>C22*$F$3*$F$4</f>
        <v>240</v>
      </c>
      <c r="E22" s="256">
        <f>6*F3*F4</f>
        <v>60</v>
      </c>
      <c r="F22" s="257">
        <f t="shared" ref="F22:F23" si="1">SUM(D22:E22)</f>
        <v>300</v>
      </c>
    </row>
    <row r="23" spans="2:6">
      <c r="B23" s="255">
        <v>5</v>
      </c>
      <c r="C23" s="256">
        <v>20</v>
      </c>
      <c r="D23" s="256">
        <f>C23*$F$3*$F$4</f>
        <v>200</v>
      </c>
      <c r="E23" s="256"/>
      <c r="F23" s="257">
        <f t="shared" si="1"/>
        <v>200</v>
      </c>
    </row>
    <row r="24" spans="2:6">
      <c r="B24" s="255"/>
      <c r="C24" s="256"/>
      <c r="D24" s="256"/>
      <c r="E24" s="256" t="s">
        <v>324</v>
      </c>
      <c r="F24" s="257">
        <f>SUM(F21:F23)</f>
        <v>610</v>
      </c>
    </row>
    <row r="25" spans="2:6">
      <c r="B25" s="255"/>
      <c r="C25" s="256"/>
      <c r="D25" s="256"/>
      <c r="E25" s="256"/>
      <c r="F25" s="257"/>
    </row>
    <row r="26" spans="2:6">
      <c r="B26" s="255"/>
      <c r="C26" s="256"/>
      <c r="D26" s="256"/>
      <c r="E26" s="256"/>
      <c r="F26" s="257"/>
    </row>
    <row r="27" spans="2:6">
      <c r="B27" s="255"/>
      <c r="C27" s="256"/>
      <c r="D27" s="256"/>
      <c r="E27" s="256"/>
      <c r="F27" s="257"/>
    </row>
    <row r="28" spans="2:6">
      <c r="B28" s="255"/>
      <c r="C28" s="256"/>
      <c r="D28" s="256" t="s">
        <v>367</v>
      </c>
      <c r="E28" s="256" t="s">
        <v>19</v>
      </c>
      <c r="F28" s="257" t="s">
        <v>368</v>
      </c>
    </row>
    <row r="29" spans="2:6">
      <c r="B29" s="258"/>
      <c r="C29" s="259"/>
      <c r="D29" s="259" t="s">
        <v>365</v>
      </c>
      <c r="E29" s="260" t="e">
        <f>SUM(#REF!)</f>
        <v>#REF!</v>
      </c>
      <c r="F29" s="261" t="e">
        <f>F24/E29</f>
        <v>#REF!</v>
      </c>
    </row>
    <row r="30" spans="2:6">
      <c r="E30" s="240"/>
    </row>
  </sheetData>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DC9CF-8F6E-4DD6-854E-21EEFAF5AAD4}">
  <sheetPr codeName="Sheet5"/>
  <dimension ref="A1:W39"/>
  <sheetViews>
    <sheetView workbookViewId="0">
      <selection activeCell="B7" sqref="B7"/>
    </sheetView>
  </sheetViews>
  <sheetFormatPr defaultRowHeight="15"/>
  <cols>
    <col min="1" max="1" width="23.85546875" bestFit="1" customWidth="1"/>
    <col min="2" max="2" width="17.7109375" bestFit="1" customWidth="1"/>
    <col min="3" max="3" width="23.85546875" bestFit="1" customWidth="1"/>
    <col min="4" max="4" width="17.7109375" bestFit="1" customWidth="1"/>
    <col min="5" max="5" width="16" bestFit="1" customWidth="1"/>
    <col min="6" max="6" width="11" bestFit="1" customWidth="1"/>
    <col min="7" max="7" width="11.7109375" bestFit="1" customWidth="1"/>
    <col min="8" max="8" width="24.7109375" bestFit="1" customWidth="1"/>
    <col min="9" max="9" width="19.140625" style="27" bestFit="1" customWidth="1"/>
    <col min="11" max="11" width="20.140625" bestFit="1" customWidth="1"/>
    <col min="12" max="12" width="22.5703125" customWidth="1"/>
    <col min="13" max="13" width="17.7109375" customWidth="1"/>
    <col min="14" max="14" width="9.42578125" customWidth="1"/>
    <col min="15" max="15" width="9.5703125" customWidth="1"/>
    <col min="16" max="17" width="23.85546875" customWidth="1"/>
    <col min="19" max="19" width="22.7109375" customWidth="1"/>
    <col min="23" max="23" width="0" hidden="1" customWidth="1"/>
  </cols>
  <sheetData>
    <row r="1" spans="1:23" ht="18" thickBot="1">
      <c r="A1" s="39" t="s">
        <v>28</v>
      </c>
      <c r="B1" s="39" t="s">
        <v>29</v>
      </c>
      <c r="C1" s="39" t="s">
        <v>30</v>
      </c>
      <c r="D1" s="39" t="s">
        <v>31</v>
      </c>
      <c r="G1" s="40" t="s">
        <v>8</v>
      </c>
      <c r="H1" s="41" t="s">
        <v>32</v>
      </c>
      <c r="I1" s="41" t="s">
        <v>33</v>
      </c>
      <c r="K1" t="s">
        <v>34</v>
      </c>
      <c r="M1" s="402" t="s">
        <v>35</v>
      </c>
      <c r="N1" s="402"/>
      <c r="O1" s="402"/>
      <c r="P1" s="402"/>
      <c r="Q1" s="402"/>
      <c r="R1" s="402"/>
      <c r="S1" s="402"/>
      <c r="T1" s="402"/>
      <c r="U1" s="402"/>
      <c r="V1" s="402"/>
    </row>
    <row r="2" spans="1:23" ht="15.75" thickTop="1">
      <c r="A2" t="s">
        <v>36</v>
      </c>
      <c r="B2">
        <v>20.416666666666664</v>
      </c>
      <c r="C2">
        <v>128</v>
      </c>
      <c r="D2">
        <v>6</v>
      </c>
      <c r="G2" s="42" t="s">
        <v>17</v>
      </c>
      <c r="H2" s="43">
        <f>AVERAGEIFS($K$13:$K$39, $A$13:$A$39,$G2)</f>
        <v>39.093336640211639</v>
      </c>
      <c r="I2" s="43">
        <f>AVERAGEIFS($I$13:$I$39, $A$13:$A$39,$G2,$C$13:$C$39,"Yes")</f>
        <v>1.6813188034188036</v>
      </c>
      <c r="M2" s="44">
        <v>5</v>
      </c>
      <c r="N2" s="44">
        <v>7</v>
      </c>
      <c r="O2" s="44">
        <v>7.5</v>
      </c>
      <c r="P2" s="44">
        <v>10</v>
      </c>
      <c r="Q2" s="44">
        <v>13</v>
      </c>
      <c r="R2" s="44">
        <v>14</v>
      </c>
      <c r="S2" s="44">
        <v>15</v>
      </c>
      <c r="T2" s="44">
        <v>20</v>
      </c>
      <c r="U2" s="44">
        <v>25</v>
      </c>
      <c r="V2" s="44">
        <v>30</v>
      </c>
    </row>
    <row r="3" spans="1:23">
      <c r="A3" t="s">
        <v>37</v>
      </c>
      <c r="B3">
        <v>153.125</v>
      </c>
      <c r="C3">
        <v>1723</v>
      </c>
      <c r="D3">
        <v>11</v>
      </c>
      <c r="G3" s="42" t="s">
        <v>16</v>
      </c>
      <c r="H3" s="43">
        <f t="shared" ref="H3:H4" si="0">AVERAGEIFS($K$13:$K$39, $A$13:$A$39,$G3)</f>
        <v>24.732440476190476</v>
      </c>
      <c r="I3" s="43">
        <f t="shared" ref="I3" si="1">AVERAGEIFS($I$13:$I$39, $A$13:$A$39,$G3,$C$13:$C$39,"Yes")</f>
        <v>1.0769077380952381</v>
      </c>
      <c r="K3" s="403" t="s">
        <v>38</v>
      </c>
      <c r="L3" s="45">
        <v>5</v>
      </c>
      <c r="M3" s="27">
        <f t="shared" ref="M3:Q7" si="2">IF(ISERROR(AVERAGEIFS($K$13:$K$39,$D$13:$D$39,$L3,$E$13:$E$39,M$2)), "", AVERAGEIFS($K$13:$K$39,$D$13:$D$39,$L3,$E$13:$E$39,M$2))</f>
        <v>42</v>
      </c>
      <c r="N3" s="27" t="str">
        <f t="shared" si="2"/>
        <v/>
      </c>
      <c r="O3" s="27" t="str">
        <f t="shared" si="2"/>
        <v/>
      </c>
      <c r="P3" s="27">
        <f t="shared" si="2"/>
        <v>39.5</v>
      </c>
      <c r="Q3" s="27" t="str">
        <f t="shared" si="2"/>
        <v/>
      </c>
      <c r="R3" s="27"/>
      <c r="S3" s="27">
        <f t="shared" ref="S3:V7" si="3">IF(ISERROR(AVERAGEIFS($K$13:$K$39,$D$13:$D$39,$L3,$E$13:$E$39,S$2)), "", AVERAGEIFS($K$13:$K$39,$D$13:$D$39,$L3,$E$13:$E$39,S$2))</f>
        <v>32.666666666666664</v>
      </c>
      <c r="T3" s="27" t="str">
        <f t="shared" si="3"/>
        <v/>
      </c>
      <c r="U3" s="27" t="str">
        <f t="shared" si="3"/>
        <v/>
      </c>
      <c r="V3" s="27" t="str">
        <f t="shared" si="3"/>
        <v/>
      </c>
    </row>
    <row r="4" spans="1:23">
      <c r="G4" s="46" t="s">
        <v>18</v>
      </c>
      <c r="H4" s="47">
        <f t="shared" si="0"/>
        <v>33.412414965986393</v>
      </c>
      <c r="I4" s="47">
        <f>AVERAGEIFS($I$13:$I$39, $A$13:$A$39,$G4,$C$13:$C$39,"Yes")</f>
        <v>1.5407619047619048</v>
      </c>
      <c r="K4" s="403"/>
      <c r="L4" s="45">
        <v>7</v>
      </c>
      <c r="M4" s="27" t="str">
        <f t="shared" si="2"/>
        <v/>
      </c>
      <c r="N4" s="27" t="str">
        <f t="shared" si="2"/>
        <v/>
      </c>
      <c r="O4" s="27" t="str">
        <f t="shared" si="2"/>
        <v/>
      </c>
      <c r="P4" s="27">
        <f t="shared" si="2"/>
        <v>43.666666666666664</v>
      </c>
      <c r="Q4" s="27" t="str">
        <f t="shared" si="2"/>
        <v/>
      </c>
      <c r="R4" s="27"/>
      <c r="S4" s="27" t="str">
        <f t="shared" si="3"/>
        <v/>
      </c>
      <c r="T4" s="27" t="str">
        <f t="shared" si="3"/>
        <v/>
      </c>
      <c r="U4" s="27" t="str">
        <f t="shared" si="3"/>
        <v/>
      </c>
      <c r="V4" s="27" t="str">
        <f t="shared" si="3"/>
        <v/>
      </c>
    </row>
    <row r="5" spans="1:23">
      <c r="H5" s="27"/>
      <c r="K5" s="403"/>
      <c r="L5" s="45">
        <v>8</v>
      </c>
      <c r="M5" s="27" t="str">
        <f t="shared" si="2"/>
        <v/>
      </c>
      <c r="N5" s="27" t="str">
        <f t="shared" si="2"/>
        <v/>
      </c>
      <c r="O5" s="27" t="str">
        <f t="shared" si="2"/>
        <v/>
      </c>
      <c r="P5" s="27" t="str">
        <f t="shared" si="2"/>
        <v/>
      </c>
      <c r="Q5" s="27" t="str">
        <f t="shared" si="2"/>
        <v/>
      </c>
      <c r="R5" s="27"/>
      <c r="S5" s="27" t="str">
        <f t="shared" si="3"/>
        <v/>
      </c>
      <c r="T5" s="27" t="str">
        <f t="shared" si="3"/>
        <v/>
      </c>
      <c r="U5" s="27" t="str">
        <f t="shared" si="3"/>
        <v/>
      </c>
      <c r="V5" s="27" t="str">
        <f t="shared" si="3"/>
        <v/>
      </c>
    </row>
    <row r="6" spans="1:23">
      <c r="A6" s="48" t="s">
        <v>39</v>
      </c>
      <c r="B6" t="s">
        <v>40</v>
      </c>
      <c r="D6" t="s">
        <v>40</v>
      </c>
      <c r="F6" t="s">
        <v>41</v>
      </c>
      <c r="H6" s="27"/>
      <c r="K6" s="403"/>
      <c r="L6" s="45">
        <v>10</v>
      </c>
      <c r="M6" s="27" t="str">
        <f t="shared" si="2"/>
        <v/>
      </c>
      <c r="N6" s="27">
        <f t="shared" si="2"/>
        <v>54.666666666666664</v>
      </c>
      <c r="O6" s="49">
        <f t="shared" si="2"/>
        <v>24.483333333333334</v>
      </c>
      <c r="P6" s="50">
        <f t="shared" si="2"/>
        <v>32.125</v>
      </c>
      <c r="Q6" s="50">
        <f t="shared" si="2"/>
        <v>32.666666666666664</v>
      </c>
      <c r="R6" s="50"/>
      <c r="S6" s="27">
        <f t="shared" si="3"/>
        <v>26.857142857142858</v>
      </c>
      <c r="T6" s="27">
        <f t="shared" si="3"/>
        <v>33.337037037037042</v>
      </c>
      <c r="U6" s="27">
        <f t="shared" si="3"/>
        <v>35.095833333333331</v>
      </c>
      <c r="V6" s="49">
        <f t="shared" si="3"/>
        <v>28.591964285714287</v>
      </c>
    </row>
    <row r="7" spans="1:23">
      <c r="A7" s="40" t="s">
        <v>16</v>
      </c>
      <c r="B7" s="41">
        <f>AVERAGEIFS($I$13:$I$39,$A$13:$A$39,A7,$B$13:$B$39,A8)</f>
        <v>0.7642916666666667</v>
      </c>
      <c r="C7" s="40" t="s">
        <v>17</v>
      </c>
      <c r="D7" s="41">
        <f>AVERAGEIFS($I$13:$I$39,$A$13:$A$39,C7,$B$13:$B$39,C8,$W$13:$W$39,FALSE)</f>
        <v>1.4921947496947496</v>
      </c>
      <c r="E7" s="40" t="s">
        <v>18</v>
      </c>
      <c r="F7" s="41">
        <f>AVERAGEIFS($I$13:$I$39,$A$13:$A$39,E7,$B$13:$B$39,E8)</f>
        <v>1.0948333333333333</v>
      </c>
      <c r="H7" s="27"/>
      <c r="K7" s="403"/>
      <c r="L7" s="45">
        <v>20</v>
      </c>
      <c r="M7" s="27" t="str">
        <f t="shared" si="2"/>
        <v/>
      </c>
      <c r="N7" s="27" t="str">
        <f t="shared" si="2"/>
        <v/>
      </c>
      <c r="O7" s="27" t="str">
        <f t="shared" si="2"/>
        <v/>
      </c>
      <c r="P7" s="27">
        <f t="shared" si="2"/>
        <v>36.666666666666664</v>
      </c>
      <c r="Q7" s="27" t="str">
        <f t="shared" si="2"/>
        <v/>
      </c>
      <c r="R7" s="27"/>
      <c r="S7" s="49">
        <f t="shared" si="3"/>
        <v>13.603571428571428</v>
      </c>
      <c r="T7" s="27" t="str">
        <f t="shared" si="3"/>
        <v/>
      </c>
      <c r="U7" s="27" t="str">
        <f t="shared" si="3"/>
        <v/>
      </c>
      <c r="V7" s="27" t="str">
        <f t="shared" si="3"/>
        <v/>
      </c>
    </row>
    <row r="8" spans="1:23">
      <c r="A8" s="42" t="s">
        <v>42</v>
      </c>
      <c r="B8" s="51"/>
      <c r="C8" s="42" t="s">
        <v>43</v>
      </c>
      <c r="D8" s="51"/>
      <c r="E8" s="42" t="s">
        <v>43</v>
      </c>
      <c r="F8" s="51"/>
      <c r="H8" s="27"/>
      <c r="I8"/>
      <c r="R8" s="27" t="str">
        <f>IF(ISERROR(AVERAGEIFS($K$13:$K$39,$D$13:$D$39,$K8,$E$13:$E$39,S$2)), "", AVERAGEIFS($K$13:$K$39,$D$13:$D$39,$K8,$E$13:$E$39,S$2))</f>
        <v/>
      </c>
      <c r="S8" s="27" t="str">
        <f>IF(ISERROR(AVERAGEIFS($K$13:$K$39,$D$13:$D$39,$K8,$E$13:$E$39,T$2)), "", AVERAGEIFS($K$13:$K$39,$D$13:$D$39,$K8,$E$13:$E$39,T$2))</f>
        <v/>
      </c>
      <c r="T8" s="27" t="str">
        <f>IF(ISERROR(AVERAGEIFS($K$13:$K$39,$D$13:$D$39,$K8,$E$13:$E$39,U$2)), "", AVERAGEIFS($K$13:$K$39,$D$13:$D$39,$K8,$E$13:$E$39,U$2))</f>
        <v/>
      </c>
      <c r="U8" s="27" t="str">
        <f>IF(ISERROR(AVERAGEIFS($K$13:$K$39,$D$13:$D$39,$K8,$E$13:$E$39,V$2)), "", AVERAGEIFS($K$13:$K$39,$D$13:$D$39,$K8,$E$13:$E$39,V$2))</f>
        <v/>
      </c>
    </row>
    <row r="9" spans="1:23">
      <c r="A9" s="46" t="s">
        <v>44</v>
      </c>
      <c r="B9" s="52"/>
      <c r="C9" s="46" t="s">
        <v>45</v>
      </c>
      <c r="D9" s="52"/>
      <c r="E9" s="46" t="s">
        <v>46</v>
      </c>
      <c r="F9" s="52"/>
      <c r="H9" s="27"/>
      <c r="I9"/>
      <c r="R9" s="27"/>
      <c r="S9" s="27"/>
      <c r="T9" s="27"/>
      <c r="U9" s="27"/>
    </row>
    <row r="10" spans="1:23">
      <c r="H10" s="27"/>
      <c r="I10"/>
    </row>
    <row r="12" spans="1:23" s="39" customFormat="1" ht="18" thickBot="1">
      <c r="A12" s="39" t="s">
        <v>8</v>
      </c>
      <c r="B12" s="39" t="s">
        <v>47</v>
      </c>
      <c r="C12" s="39" t="s">
        <v>48</v>
      </c>
      <c r="D12" s="39" t="s">
        <v>38</v>
      </c>
      <c r="E12" s="39" t="s">
        <v>35</v>
      </c>
      <c r="F12" s="39" t="s">
        <v>49</v>
      </c>
      <c r="G12" s="39" t="s">
        <v>15</v>
      </c>
      <c r="H12" s="53" t="s">
        <v>50</v>
      </c>
      <c r="I12" s="39" t="s">
        <v>51</v>
      </c>
      <c r="J12" s="39" t="s">
        <v>52</v>
      </c>
      <c r="K12" s="39" t="s">
        <v>53</v>
      </c>
      <c r="L12" s="39" t="s">
        <v>54</v>
      </c>
      <c r="W12" s="39" t="s">
        <v>55</v>
      </c>
    </row>
    <row r="13" spans="1:23" ht="15.75" thickTop="1">
      <c r="A13" t="s">
        <v>17</v>
      </c>
      <c r="B13" t="s">
        <v>43</v>
      </c>
      <c r="C13" t="s">
        <v>56</v>
      </c>
      <c r="D13">
        <v>5</v>
      </c>
      <c r="E13">
        <v>5</v>
      </c>
      <c r="F13">
        <v>8</v>
      </c>
      <c r="G13">
        <f>D13*E13</f>
        <v>25</v>
      </c>
      <c r="H13" s="27">
        <v>58</v>
      </c>
      <c r="I13" s="54">
        <f>H13/G13</f>
        <v>2.3199999999999998</v>
      </c>
      <c r="J13">
        <f t="shared" ref="J13:J39" si="4">ROUNDDOWN(G13/$B$2,0)</f>
        <v>1</v>
      </c>
      <c r="K13" s="54">
        <f>H13/J13</f>
        <v>58</v>
      </c>
      <c r="L13" s="55" t="s">
        <v>57</v>
      </c>
      <c r="W13" t="b">
        <f>IF(OR(AND(D13=5,E13=5),AND(D13=10,E13=7)),TRUE,FALSE)</f>
        <v>1</v>
      </c>
    </row>
    <row r="14" spans="1:23">
      <c r="A14" t="s">
        <v>17</v>
      </c>
      <c r="B14" t="s">
        <v>43</v>
      </c>
      <c r="C14" t="s">
        <v>56</v>
      </c>
      <c r="D14">
        <v>5</v>
      </c>
      <c r="E14">
        <v>15</v>
      </c>
      <c r="F14">
        <v>8</v>
      </c>
      <c r="G14">
        <f>D14*E14</f>
        <v>75</v>
      </c>
      <c r="H14" s="27">
        <v>98</v>
      </c>
      <c r="I14" s="54">
        <f t="shared" ref="I14:I39" si="5">H14/G14</f>
        <v>1.3066666666666666</v>
      </c>
      <c r="J14">
        <f t="shared" si="4"/>
        <v>3</v>
      </c>
      <c r="K14" s="54">
        <f t="shared" ref="K14:K39" si="6">H14/J14</f>
        <v>32.666666666666664</v>
      </c>
      <c r="L14" s="55" t="s">
        <v>57</v>
      </c>
      <c r="W14" t="b">
        <f t="shared" ref="W14:W39" si="7">IF(OR(AND(D14=5,E14=5),AND(D14=10,E14=7)),TRUE,FALSE)</f>
        <v>0</v>
      </c>
    </row>
    <row r="15" spans="1:23">
      <c r="A15" t="s">
        <v>17</v>
      </c>
      <c r="B15" t="s">
        <v>43</v>
      </c>
      <c r="C15" t="s">
        <v>56</v>
      </c>
      <c r="D15">
        <v>10</v>
      </c>
      <c r="E15">
        <v>13</v>
      </c>
      <c r="F15">
        <v>8</v>
      </c>
      <c r="G15">
        <f>D15*E15</f>
        <v>130</v>
      </c>
      <c r="H15" s="27">
        <v>196</v>
      </c>
      <c r="I15" s="54">
        <f t="shared" si="5"/>
        <v>1.5076923076923077</v>
      </c>
      <c r="J15">
        <f t="shared" si="4"/>
        <v>6</v>
      </c>
      <c r="K15" s="54">
        <f t="shared" si="6"/>
        <v>32.666666666666664</v>
      </c>
      <c r="L15" s="55" t="s">
        <v>57</v>
      </c>
      <c r="W15" t="b">
        <f t="shared" si="7"/>
        <v>0</v>
      </c>
    </row>
    <row r="16" spans="1:23">
      <c r="A16" t="s">
        <v>17</v>
      </c>
      <c r="B16" t="s">
        <v>43</v>
      </c>
      <c r="C16" t="s">
        <v>56</v>
      </c>
      <c r="D16">
        <v>5</v>
      </c>
      <c r="E16">
        <v>5</v>
      </c>
      <c r="F16">
        <v>8</v>
      </c>
      <c r="G16">
        <f t="shared" ref="G16:G39" si="8">D16*E16</f>
        <v>25</v>
      </c>
      <c r="H16" s="27">
        <v>26</v>
      </c>
      <c r="I16" s="54">
        <f t="shared" si="5"/>
        <v>1.04</v>
      </c>
      <c r="J16">
        <f t="shared" si="4"/>
        <v>1</v>
      </c>
      <c r="K16" s="54">
        <f t="shared" si="6"/>
        <v>26</v>
      </c>
      <c r="L16" s="55" t="s">
        <v>57</v>
      </c>
      <c r="W16" t="b">
        <f t="shared" si="7"/>
        <v>1</v>
      </c>
    </row>
    <row r="17" spans="1:23">
      <c r="A17" t="s">
        <v>17</v>
      </c>
      <c r="B17" t="s">
        <v>43</v>
      </c>
      <c r="C17" t="s">
        <v>56</v>
      </c>
      <c r="D17">
        <v>10</v>
      </c>
      <c r="E17">
        <v>10</v>
      </c>
      <c r="F17">
        <v>8</v>
      </c>
      <c r="G17">
        <f t="shared" si="8"/>
        <v>100</v>
      </c>
      <c r="H17" s="27">
        <v>130</v>
      </c>
      <c r="I17" s="54">
        <f t="shared" si="5"/>
        <v>1.3</v>
      </c>
      <c r="J17">
        <f t="shared" si="4"/>
        <v>4</v>
      </c>
      <c r="K17" s="54">
        <f t="shared" si="6"/>
        <v>32.5</v>
      </c>
      <c r="L17" s="55" t="s">
        <v>57</v>
      </c>
      <c r="W17" t="b">
        <f t="shared" si="7"/>
        <v>0</v>
      </c>
    </row>
    <row r="18" spans="1:23">
      <c r="A18" t="s">
        <v>17</v>
      </c>
      <c r="B18" t="s">
        <v>43</v>
      </c>
      <c r="C18" t="s">
        <v>56</v>
      </c>
      <c r="D18">
        <v>10</v>
      </c>
      <c r="E18">
        <v>14</v>
      </c>
      <c r="F18">
        <v>8</v>
      </c>
      <c r="G18">
        <f t="shared" si="8"/>
        <v>140</v>
      </c>
      <c r="H18" s="27">
        <v>218</v>
      </c>
      <c r="I18" s="54">
        <f t="shared" si="5"/>
        <v>1.5571428571428572</v>
      </c>
      <c r="J18">
        <f t="shared" si="4"/>
        <v>6</v>
      </c>
      <c r="K18" s="54">
        <f t="shared" si="6"/>
        <v>36.333333333333336</v>
      </c>
      <c r="L18" s="55" t="s">
        <v>57</v>
      </c>
      <c r="W18" t="b">
        <f t="shared" si="7"/>
        <v>0</v>
      </c>
    </row>
    <row r="19" spans="1:23">
      <c r="A19" t="s">
        <v>17</v>
      </c>
      <c r="B19" t="s">
        <v>43</v>
      </c>
      <c r="C19" t="s">
        <v>56</v>
      </c>
      <c r="D19">
        <v>10</v>
      </c>
      <c r="E19">
        <v>20</v>
      </c>
      <c r="F19">
        <v>8</v>
      </c>
      <c r="G19">
        <f t="shared" si="8"/>
        <v>200</v>
      </c>
      <c r="H19" s="27">
        <v>371</v>
      </c>
      <c r="I19" s="54">
        <f t="shared" si="5"/>
        <v>1.855</v>
      </c>
      <c r="J19">
        <f t="shared" si="4"/>
        <v>9</v>
      </c>
      <c r="K19" s="54">
        <f t="shared" si="6"/>
        <v>41.222222222222221</v>
      </c>
      <c r="L19" s="55" t="s">
        <v>57</v>
      </c>
      <c r="W19" t="b">
        <f t="shared" si="7"/>
        <v>0</v>
      </c>
    </row>
    <row r="20" spans="1:23">
      <c r="A20" t="s">
        <v>17</v>
      </c>
      <c r="B20" t="s">
        <v>43</v>
      </c>
      <c r="C20" t="s">
        <v>56</v>
      </c>
      <c r="D20">
        <v>10</v>
      </c>
      <c r="E20">
        <v>7</v>
      </c>
      <c r="F20">
        <v>8</v>
      </c>
      <c r="G20">
        <f t="shared" si="8"/>
        <v>70</v>
      </c>
      <c r="H20" s="27">
        <v>164</v>
      </c>
      <c r="I20" s="54">
        <f t="shared" si="5"/>
        <v>2.342857142857143</v>
      </c>
      <c r="J20">
        <f t="shared" si="4"/>
        <v>3</v>
      </c>
      <c r="K20" s="54">
        <f t="shared" si="6"/>
        <v>54.666666666666664</v>
      </c>
      <c r="L20" s="55" t="s">
        <v>57</v>
      </c>
      <c r="W20" t="b">
        <f t="shared" si="7"/>
        <v>1</v>
      </c>
    </row>
    <row r="21" spans="1:23">
      <c r="A21" t="s">
        <v>17</v>
      </c>
      <c r="B21" t="s">
        <v>43</v>
      </c>
      <c r="C21" t="s">
        <v>56</v>
      </c>
      <c r="D21">
        <v>10</v>
      </c>
      <c r="E21">
        <v>15</v>
      </c>
      <c r="F21">
        <v>8</v>
      </c>
      <c r="G21">
        <f t="shared" si="8"/>
        <v>150</v>
      </c>
      <c r="H21" s="27">
        <v>214</v>
      </c>
      <c r="I21" s="54">
        <f t="shared" si="5"/>
        <v>1.4266666666666667</v>
      </c>
      <c r="J21">
        <f t="shared" si="4"/>
        <v>7</v>
      </c>
      <c r="K21" s="54">
        <f t="shared" si="6"/>
        <v>30.571428571428573</v>
      </c>
      <c r="L21" s="55" t="s">
        <v>57</v>
      </c>
      <c r="W21" t="b">
        <f t="shared" si="7"/>
        <v>0</v>
      </c>
    </row>
    <row r="22" spans="1:23">
      <c r="A22" t="s">
        <v>16</v>
      </c>
      <c r="B22" t="s">
        <v>58</v>
      </c>
      <c r="C22" t="s">
        <v>56</v>
      </c>
      <c r="D22">
        <v>20</v>
      </c>
      <c r="E22">
        <v>15</v>
      </c>
      <c r="F22">
        <v>8</v>
      </c>
      <c r="G22">
        <f t="shared" si="8"/>
        <v>300</v>
      </c>
      <c r="H22" s="27">
        <v>190.45</v>
      </c>
      <c r="I22" s="54">
        <f t="shared" si="5"/>
        <v>0.63483333333333325</v>
      </c>
      <c r="J22">
        <f t="shared" si="4"/>
        <v>14</v>
      </c>
      <c r="K22" s="54">
        <f t="shared" si="6"/>
        <v>13.603571428571428</v>
      </c>
      <c r="L22" s="55" t="s">
        <v>59</v>
      </c>
      <c r="W22" t="b">
        <f t="shared" si="7"/>
        <v>0</v>
      </c>
    </row>
    <row r="23" spans="1:23">
      <c r="A23" t="s">
        <v>16</v>
      </c>
      <c r="B23" t="s">
        <v>58</v>
      </c>
      <c r="C23" t="s">
        <v>56</v>
      </c>
      <c r="D23">
        <v>10</v>
      </c>
      <c r="E23">
        <v>30</v>
      </c>
      <c r="F23">
        <v>8</v>
      </c>
      <c r="G23">
        <f t="shared" si="8"/>
        <v>300</v>
      </c>
      <c r="H23" s="27">
        <v>228.15</v>
      </c>
      <c r="I23" s="54">
        <f t="shared" si="5"/>
        <v>0.76050000000000006</v>
      </c>
      <c r="J23">
        <f t="shared" si="4"/>
        <v>14</v>
      </c>
      <c r="K23" s="54">
        <f t="shared" si="6"/>
        <v>16.296428571428571</v>
      </c>
      <c r="L23" s="55" t="s">
        <v>59</v>
      </c>
      <c r="W23" t="b">
        <f t="shared" si="7"/>
        <v>0</v>
      </c>
    </row>
    <row r="24" spans="1:23">
      <c r="A24" t="s">
        <v>16</v>
      </c>
      <c r="B24" t="s">
        <v>58</v>
      </c>
      <c r="C24" t="s">
        <v>56</v>
      </c>
      <c r="D24">
        <v>10</v>
      </c>
      <c r="E24">
        <v>20</v>
      </c>
      <c r="F24">
        <v>8</v>
      </c>
      <c r="G24">
        <f t="shared" si="8"/>
        <v>200</v>
      </c>
      <c r="H24" s="27">
        <v>136.5</v>
      </c>
      <c r="I24" s="54">
        <f t="shared" si="5"/>
        <v>0.6825</v>
      </c>
      <c r="J24">
        <f t="shared" si="4"/>
        <v>9</v>
      </c>
      <c r="K24" s="54">
        <f t="shared" si="6"/>
        <v>15.166666666666666</v>
      </c>
      <c r="L24" s="55" t="s">
        <v>59</v>
      </c>
      <c r="W24" t="b">
        <f t="shared" si="7"/>
        <v>0</v>
      </c>
    </row>
    <row r="25" spans="1:23">
      <c r="A25" t="s">
        <v>16</v>
      </c>
      <c r="B25" t="s">
        <v>58</v>
      </c>
      <c r="C25" t="s">
        <v>56</v>
      </c>
      <c r="D25">
        <v>10</v>
      </c>
      <c r="E25">
        <v>7.5</v>
      </c>
      <c r="F25">
        <v>8</v>
      </c>
      <c r="G25">
        <f t="shared" si="8"/>
        <v>75</v>
      </c>
      <c r="H25" s="27">
        <v>73.45</v>
      </c>
      <c r="I25" s="54">
        <f t="shared" si="5"/>
        <v>0.97933333333333339</v>
      </c>
      <c r="J25">
        <f t="shared" si="4"/>
        <v>3</v>
      </c>
      <c r="K25" s="54">
        <f t="shared" si="6"/>
        <v>24.483333333333334</v>
      </c>
      <c r="L25" s="55" t="s">
        <v>59</v>
      </c>
      <c r="W25" t="b">
        <f t="shared" si="7"/>
        <v>0</v>
      </c>
    </row>
    <row r="26" spans="1:23">
      <c r="A26" t="s">
        <v>17</v>
      </c>
      <c r="B26" t="s">
        <v>58</v>
      </c>
      <c r="C26" t="s">
        <v>56</v>
      </c>
      <c r="D26">
        <v>10</v>
      </c>
      <c r="E26">
        <v>20</v>
      </c>
      <c r="F26">
        <v>8</v>
      </c>
      <c r="G26">
        <f t="shared" si="8"/>
        <v>200</v>
      </c>
      <c r="H26" s="27">
        <v>392.6</v>
      </c>
      <c r="I26" s="54">
        <f t="shared" si="5"/>
        <v>1.9630000000000001</v>
      </c>
      <c r="J26">
        <f t="shared" si="4"/>
        <v>9</v>
      </c>
      <c r="K26" s="54">
        <f t="shared" si="6"/>
        <v>43.622222222222227</v>
      </c>
      <c r="L26" s="55" t="s">
        <v>60</v>
      </c>
      <c r="W26" t="b">
        <f t="shared" si="7"/>
        <v>0</v>
      </c>
    </row>
    <row r="27" spans="1:23">
      <c r="A27" t="s">
        <v>17</v>
      </c>
      <c r="B27" t="s">
        <v>58</v>
      </c>
      <c r="C27" t="s">
        <v>56</v>
      </c>
      <c r="D27">
        <v>10</v>
      </c>
      <c r="E27">
        <v>25</v>
      </c>
      <c r="F27">
        <v>8</v>
      </c>
      <c r="G27">
        <f t="shared" si="8"/>
        <v>250</v>
      </c>
      <c r="H27" s="27">
        <v>482.95</v>
      </c>
      <c r="I27" s="54">
        <f t="shared" si="5"/>
        <v>1.9318</v>
      </c>
      <c r="J27">
        <f t="shared" si="4"/>
        <v>12</v>
      </c>
      <c r="K27" s="54">
        <f t="shared" si="6"/>
        <v>40.24583333333333</v>
      </c>
      <c r="L27" s="55" t="s">
        <v>60</v>
      </c>
      <c r="W27" t="b">
        <f t="shared" si="7"/>
        <v>0</v>
      </c>
    </row>
    <row r="28" spans="1:23">
      <c r="A28" t="s">
        <v>17</v>
      </c>
      <c r="B28" t="s">
        <v>58</v>
      </c>
      <c r="C28" t="s">
        <v>56</v>
      </c>
      <c r="D28">
        <v>10</v>
      </c>
      <c r="E28">
        <v>10</v>
      </c>
      <c r="F28">
        <v>8</v>
      </c>
      <c r="G28">
        <f t="shared" si="8"/>
        <v>100</v>
      </c>
      <c r="H28" s="27">
        <v>162.5</v>
      </c>
      <c r="I28" s="54">
        <f t="shared" si="5"/>
        <v>1.625</v>
      </c>
      <c r="J28">
        <f t="shared" si="4"/>
        <v>4</v>
      </c>
      <c r="K28" s="54">
        <f t="shared" si="6"/>
        <v>40.625</v>
      </c>
      <c r="L28" s="55" t="s">
        <v>60</v>
      </c>
      <c r="W28" t="b">
        <f t="shared" si="7"/>
        <v>0</v>
      </c>
    </row>
    <row r="29" spans="1:23">
      <c r="A29" t="s">
        <v>16</v>
      </c>
      <c r="B29" t="s">
        <v>43</v>
      </c>
      <c r="C29" t="s">
        <v>56</v>
      </c>
      <c r="D29">
        <v>10</v>
      </c>
      <c r="E29">
        <v>30</v>
      </c>
      <c r="F29">
        <v>8</v>
      </c>
      <c r="G29">
        <f t="shared" si="8"/>
        <v>300</v>
      </c>
      <c r="H29" s="27">
        <v>316</v>
      </c>
      <c r="I29" s="54">
        <f t="shared" si="5"/>
        <v>1.0533333333333332</v>
      </c>
      <c r="J29">
        <f t="shared" si="4"/>
        <v>14</v>
      </c>
      <c r="K29" s="54">
        <f t="shared" si="6"/>
        <v>22.571428571428573</v>
      </c>
      <c r="L29" s="55" t="s">
        <v>61</v>
      </c>
      <c r="W29" t="b">
        <f t="shared" si="7"/>
        <v>0</v>
      </c>
    </row>
    <row r="30" spans="1:23">
      <c r="A30" t="s">
        <v>16</v>
      </c>
      <c r="B30" t="s">
        <v>43</v>
      </c>
      <c r="C30" t="s">
        <v>56</v>
      </c>
      <c r="D30">
        <v>7</v>
      </c>
      <c r="E30">
        <v>10</v>
      </c>
      <c r="F30">
        <v>8</v>
      </c>
      <c r="G30">
        <f t="shared" si="8"/>
        <v>70</v>
      </c>
      <c r="H30" s="27">
        <v>131</v>
      </c>
      <c r="I30" s="54">
        <f t="shared" si="5"/>
        <v>1.8714285714285714</v>
      </c>
      <c r="J30">
        <f t="shared" si="4"/>
        <v>3</v>
      </c>
      <c r="K30" s="54">
        <f t="shared" si="6"/>
        <v>43.666666666666664</v>
      </c>
      <c r="L30" s="55" t="s">
        <v>61</v>
      </c>
      <c r="W30" t="b">
        <f t="shared" si="7"/>
        <v>0</v>
      </c>
    </row>
    <row r="31" spans="1:23">
      <c r="A31" t="s">
        <v>16</v>
      </c>
      <c r="B31" t="s">
        <v>43</v>
      </c>
      <c r="C31" t="s">
        <v>56</v>
      </c>
      <c r="D31">
        <v>5</v>
      </c>
      <c r="E31">
        <v>10</v>
      </c>
      <c r="F31">
        <v>8</v>
      </c>
      <c r="G31">
        <f t="shared" si="8"/>
        <v>50</v>
      </c>
      <c r="H31" s="27">
        <v>79</v>
      </c>
      <c r="I31" s="54">
        <f t="shared" si="5"/>
        <v>1.58</v>
      </c>
      <c r="J31">
        <f t="shared" si="4"/>
        <v>2</v>
      </c>
      <c r="K31" s="54">
        <f t="shared" si="6"/>
        <v>39.5</v>
      </c>
      <c r="L31" s="55" t="s">
        <v>61</v>
      </c>
      <c r="W31" t="b">
        <f t="shared" si="7"/>
        <v>0</v>
      </c>
    </row>
    <row r="32" spans="1:23">
      <c r="A32" t="s">
        <v>16</v>
      </c>
      <c r="B32" t="s">
        <v>43</v>
      </c>
      <c r="C32" t="s">
        <v>56</v>
      </c>
      <c r="D32">
        <v>10</v>
      </c>
      <c r="E32">
        <v>30</v>
      </c>
      <c r="F32">
        <v>8</v>
      </c>
      <c r="G32">
        <f t="shared" si="8"/>
        <v>300</v>
      </c>
      <c r="H32" s="27">
        <v>316</v>
      </c>
      <c r="I32" s="54">
        <f t="shared" si="5"/>
        <v>1.0533333333333332</v>
      </c>
      <c r="J32">
        <f t="shared" si="4"/>
        <v>14</v>
      </c>
      <c r="K32" s="54">
        <f t="shared" si="6"/>
        <v>22.571428571428573</v>
      </c>
      <c r="L32" s="55" t="s">
        <v>61</v>
      </c>
      <c r="W32" t="b">
        <f t="shared" si="7"/>
        <v>0</v>
      </c>
    </row>
    <row r="33" spans="1:23">
      <c r="A33" t="s">
        <v>18</v>
      </c>
      <c r="B33" t="s">
        <v>43</v>
      </c>
      <c r="C33" t="s">
        <v>56</v>
      </c>
      <c r="D33">
        <v>15</v>
      </c>
      <c r="E33">
        <v>10</v>
      </c>
      <c r="F33">
        <v>8</v>
      </c>
      <c r="G33">
        <f t="shared" si="8"/>
        <v>150</v>
      </c>
      <c r="H33" s="27">
        <v>230</v>
      </c>
      <c r="I33" s="54">
        <f t="shared" si="5"/>
        <v>1.5333333333333334</v>
      </c>
      <c r="J33">
        <f t="shared" si="4"/>
        <v>7</v>
      </c>
      <c r="K33" s="54">
        <f t="shared" si="6"/>
        <v>32.857142857142854</v>
      </c>
      <c r="L33" s="55" t="s">
        <v>62</v>
      </c>
      <c r="W33" t="b">
        <f t="shared" si="7"/>
        <v>0</v>
      </c>
    </row>
    <row r="34" spans="1:23">
      <c r="A34" t="s">
        <v>18</v>
      </c>
      <c r="B34" t="s">
        <v>43</v>
      </c>
      <c r="C34" t="s">
        <v>56</v>
      </c>
      <c r="D34">
        <v>10</v>
      </c>
      <c r="E34">
        <v>10</v>
      </c>
      <c r="F34">
        <v>8</v>
      </c>
      <c r="G34">
        <f t="shared" si="8"/>
        <v>100</v>
      </c>
      <c r="H34" s="27">
        <v>93</v>
      </c>
      <c r="I34" s="54">
        <f t="shared" si="5"/>
        <v>0.93</v>
      </c>
      <c r="J34">
        <f t="shared" si="4"/>
        <v>4</v>
      </c>
      <c r="K34" s="54">
        <f t="shared" si="6"/>
        <v>23.25</v>
      </c>
      <c r="L34" s="55" t="s">
        <v>62</v>
      </c>
      <c r="W34" t="b">
        <f t="shared" si="7"/>
        <v>0</v>
      </c>
    </row>
    <row r="35" spans="1:23">
      <c r="A35" t="s">
        <v>18</v>
      </c>
      <c r="B35" t="s">
        <v>43</v>
      </c>
      <c r="C35" t="s">
        <v>56</v>
      </c>
      <c r="D35">
        <v>10</v>
      </c>
      <c r="E35">
        <v>15</v>
      </c>
      <c r="F35">
        <v>8</v>
      </c>
      <c r="G35">
        <f t="shared" si="8"/>
        <v>150</v>
      </c>
      <c r="H35" s="27">
        <v>162</v>
      </c>
      <c r="I35" s="54">
        <f t="shared" si="5"/>
        <v>1.08</v>
      </c>
      <c r="J35">
        <f t="shared" si="4"/>
        <v>7</v>
      </c>
      <c r="K35" s="54">
        <f t="shared" si="6"/>
        <v>23.142857142857142</v>
      </c>
      <c r="L35" s="55" t="s">
        <v>62</v>
      </c>
      <c r="W35" t="b">
        <f t="shared" si="7"/>
        <v>0</v>
      </c>
    </row>
    <row r="36" spans="1:23">
      <c r="A36" t="s">
        <v>18</v>
      </c>
      <c r="B36" t="s">
        <v>43</v>
      </c>
      <c r="C36" t="s">
        <v>56</v>
      </c>
      <c r="D36">
        <v>10</v>
      </c>
      <c r="E36">
        <v>25</v>
      </c>
      <c r="F36">
        <v>8</v>
      </c>
      <c r="G36">
        <f t="shared" si="8"/>
        <v>250</v>
      </c>
      <c r="H36" s="27">
        <v>209</v>
      </c>
      <c r="I36" s="54">
        <f t="shared" si="5"/>
        <v>0.83599999999999997</v>
      </c>
      <c r="J36">
        <f t="shared" si="4"/>
        <v>12</v>
      </c>
      <c r="K36" s="54">
        <f t="shared" si="6"/>
        <v>17.416666666666668</v>
      </c>
      <c r="L36" s="55" t="s">
        <v>62</v>
      </c>
      <c r="W36" t="b">
        <f t="shared" si="7"/>
        <v>0</v>
      </c>
    </row>
    <row r="37" spans="1:23">
      <c r="A37" t="s">
        <v>18</v>
      </c>
      <c r="B37" t="s">
        <v>58</v>
      </c>
      <c r="C37" t="s">
        <v>56</v>
      </c>
      <c r="D37">
        <v>10</v>
      </c>
      <c r="E37">
        <v>30</v>
      </c>
      <c r="F37">
        <v>8</v>
      </c>
      <c r="G37">
        <f t="shared" si="8"/>
        <v>300</v>
      </c>
      <c r="H37" s="27">
        <v>741</v>
      </c>
      <c r="I37" s="54">
        <f t="shared" si="5"/>
        <v>2.4700000000000002</v>
      </c>
      <c r="J37">
        <f t="shared" si="4"/>
        <v>14</v>
      </c>
      <c r="K37" s="54">
        <f t="shared" si="6"/>
        <v>52.928571428571431</v>
      </c>
      <c r="L37" s="55" t="s">
        <v>63</v>
      </c>
      <c r="W37" t="b">
        <f t="shared" si="7"/>
        <v>0</v>
      </c>
    </row>
    <row r="38" spans="1:23">
      <c r="A38" t="s">
        <v>18</v>
      </c>
      <c r="B38" t="s">
        <v>58</v>
      </c>
      <c r="C38" t="s">
        <v>56</v>
      </c>
      <c r="D38">
        <v>10</v>
      </c>
      <c r="E38">
        <v>25</v>
      </c>
      <c r="F38">
        <v>8</v>
      </c>
      <c r="G38">
        <f t="shared" si="8"/>
        <v>250</v>
      </c>
      <c r="H38" s="27">
        <v>571.5</v>
      </c>
      <c r="I38" s="54">
        <f t="shared" si="5"/>
        <v>2.286</v>
      </c>
      <c r="J38">
        <f t="shared" si="4"/>
        <v>12</v>
      </c>
      <c r="K38" s="54">
        <f t="shared" si="6"/>
        <v>47.625</v>
      </c>
      <c r="L38" s="55" t="s">
        <v>63</v>
      </c>
      <c r="W38" t="b">
        <f t="shared" si="7"/>
        <v>0</v>
      </c>
    </row>
    <row r="39" spans="1:23">
      <c r="A39" t="s">
        <v>18</v>
      </c>
      <c r="B39" t="s">
        <v>58</v>
      </c>
      <c r="C39" t="s">
        <v>56</v>
      </c>
      <c r="D39">
        <v>20</v>
      </c>
      <c r="E39">
        <v>10</v>
      </c>
      <c r="F39">
        <v>8</v>
      </c>
      <c r="G39">
        <f t="shared" si="8"/>
        <v>200</v>
      </c>
      <c r="H39" s="27">
        <v>330</v>
      </c>
      <c r="I39" s="54">
        <f t="shared" si="5"/>
        <v>1.65</v>
      </c>
      <c r="J39">
        <f t="shared" si="4"/>
        <v>9</v>
      </c>
      <c r="K39" s="54">
        <f t="shared" si="6"/>
        <v>36.666666666666664</v>
      </c>
      <c r="L39" s="55" t="s">
        <v>63</v>
      </c>
      <c r="W39" t="b">
        <f t="shared" si="7"/>
        <v>0</v>
      </c>
    </row>
  </sheetData>
  <mergeCells count="2">
    <mergeCell ref="M1:V1"/>
    <mergeCell ref="K3:K7"/>
  </mergeCells>
  <hyperlinks>
    <hyperlink ref="L22" r:id="rId1" xr:uid="{D353442C-FEF8-4837-866F-DCFE546180FA}"/>
    <hyperlink ref="L23" r:id="rId2" xr:uid="{463EA5B8-62D6-4638-AB3D-380A53E9D9DF}"/>
    <hyperlink ref="L26" r:id="rId3" xr:uid="{9D4D3B07-E44D-46C9-A085-E1655A5D32D0}"/>
    <hyperlink ref="L27" r:id="rId4" xr:uid="{969C8920-18B7-4DDC-8810-42CB4F78B3C8}"/>
    <hyperlink ref="L29" r:id="rId5" xr:uid="{A3B9F91E-2732-42D6-8144-11317B1101E1}"/>
    <hyperlink ref="L30:L31" r:id="rId6" display="https://www.publicstorage.com/self-storage-tx-san-antonio/620?sp=620|9|San%20Antonio|29.42412|-98.49363|0|1|1" xr:uid="{C1D23789-64F0-4912-A977-D2ACB968B5DF}"/>
    <hyperlink ref="L28" r:id="rId7" xr:uid="{8F691518-5EE2-4532-B949-6E70283B8547}"/>
    <hyperlink ref="L24:L25" r:id="rId8" display="https://www.cubesmart.com/texas-self-storage/san-antonio-self-storage/climate-controlled/4225.html" xr:uid="{D3D5F07A-2352-4D5C-8703-F702C6DF66BA}"/>
    <hyperlink ref="L32" r:id="rId9" xr:uid="{98976E2D-03B4-4605-8473-152E8A33F4C4}"/>
    <hyperlink ref="L33" r:id="rId10" xr:uid="{343F8D23-D8F2-4285-B7CE-9E2FEE5B9D6D}"/>
    <hyperlink ref="L34" r:id="rId11" xr:uid="{43CC1AEB-F859-4514-9DB0-5615049068CC}"/>
    <hyperlink ref="L36" r:id="rId12" xr:uid="{38864C81-7780-4E0E-BB84-3C35FC0EEA28}"/>
    <hyperlink ref="L35" r:id="rId13" xr:uid="{AA27CB6F-B6FA-4C63-A8D5-60098EC3CCA1}"/>
    <hyperlink ref="L37" r:id="rId14" xr:uid="{DEC12679-AC28-4B42-BC3C-B0BE0E8FBA75}"/>
    <hyperlink ref="L38" r:id="rId15" xr:uid="{BBE00617-A760-4BE1-8866-63A516F29150}"/>
    <hyperlink ref="L39" r:id="rId16" xr:uid="{79E31703-596C-4339-A8B7-CEEBD339CC57}"/>
  </hyperlinks>
  <pageMargins left="0.7" right="0.7" top="0.75" bottom="0.75" header="0.3" footer="0.3"/>
  <legacyDrawing r:id="rId17"/>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04391-0901-4026-9678-D53CE546B651}">
  <sheetPr codeName="Sheet14"/>
  <dimension ref="A1:X34"/>
  <sheetViews>
    <sheetView showGridLines="0" workbookViewId="0">
      <selection activeCell="G33" sqref="G33"/>
    </sheetView>
  </sheetViews>
  <sheetFormatPr defaultColWidth="9.140625" defaultRowHeight="14.25"/>
  <cols>
    <col min="1" max="1" width="19.85546875" style="13" customWidth="1"/>
    <col min="2" max="4" width="9.140625" style="13"/>
    <col min="5" max="5" width="2.85546875" style="13" customWidth="1"/>
    <col min="6" max="6" width="36.140625" style="13" customWidth="1"/>
    <col min="7" max="7" width="14" style="13" bestFit="1" customWidth="1"/>
    <col min="8" max="18" width="10.5703125" style="13" customWidth="1"/>
    <col min="19" max="23" width="12.28515625" style="13" bestFit="1" customWidth="1"/>
    <col min="24" max="24" width="10.5703125" style="13" customWidth="1"/>
    <col min="25" max="16384" width="9.140625" style="13"/>
  </cols>
  <sheetData>
    <row r="1" spans="1:24" s="3" customFormat="1" ht="32.25">
      <c r="A1" s="1"/>
      <c r="B1" s="2"/>
      <c r="C1" s="2"/>
      <c r="D1" s="13"/>
      <c r="E1" s="1" t="s">
        <v>92</v>
      </c>
      <c r="F1" s="2"/>
      <c r="G1" s="2"/>
      <c r="H1" s="2"/>
      <c r="I1" s="2"/>
      <c r="J1" s="2"/>
      <c r="K1" s="2"/>
      <c r="L1" s="2"/>
      <c r="M1" s="2"/>
      <c r="N1" s="2"/>
      <c r="O1" s="2"/>
      <c r="P1" s="2"/>
      <c r="Q1" s="2"/>
      <c r="R1" s="2"/>
      <c r="S1" s="2"/>
      <c r="T1" s="2"/>
      <c r="U1" s="2"/>
      <c r="V1" s="2"/>
      <c r="W1" s="2"/>
      <c r="X1" s="2"/>
    </row>
    <row r="2" spans="1:24" s="3" customFormat="1" ht="23.25">
      <c r="A2" s="10" t="s">
        <v>10</v>
      </c>
      <c r="B2" s="2"/>
      <c r="C2" s="2"/>
      <c r="D2" s="13"/>
      <c r="E2" s="4"/>
      <c r="F2" s="2"/>
      <c r="G2" s="367" t="s">
        <v>178</v>
      </c>
      <c r="H2" s="367"/>
      <c r="I2" s="367" t="s">
        <v>179</v>
      </c>
      <c r="J2" s="367"/>
      <c r="K2" s="367"/>
      <c r="L2" s="367"/>
      <c r="M2" s="367"/>
      <c r="N2" s="367"/>
      <c r="O2" s="367"/>
      <c r="P2" s="367"/>
      <c r="Q2" s="367"/>
      <c r="R2" s="367"/>
      <c r="S2" s="367"/>
      <c r="T2" s="367"/>
      <c r="U2" s="367"/>
      <c r="V2" s="367"/>
      <c r="W2" s="367"/>
      <c r="X2" s="2"/>
    </row>
    <row r="3" spans="1:24" ht="24" thickBot="1">
      <c r="A3" s="25" t="s">
        <v>100</v>
      </c>
      <c r="B3" s="15"/>
      <c r="C3" s="15"/>
      <c r="E3" s="89"/>
      <c r="F3" s="12"/>
      <c r="G3" s="12"/>
      <c r="H3" s="12"/>
      <c r="I3" s="12"/>
      <c r="J3" s="12"/>
      <c r="K3" s="12"/>
      <c r="L3" s="12"/>
      <c r="M3" s="12"/>
      <c r="N3" s="12"/>
      <c r="O3" s="12"/>
      <c r="P3" s="12"/>
      <c r="Q3" s="12"/>
      <c r="R3" s="12"/>
      <c r="S3" s="12"/>
      <c r="T3" s="12"/>
      <c r="U3" s="12"/>
      <c r="V3" s="12"/>
      <c r="W3" s="12"/>
      <c r="X3" s="12"/>
    </row>
    <row r="4" spans="1:24" ht="15.75">
      <c r="A4" s="12" t="s">
        <v>98</v>
      </c>
      <c r="B4"/>
      <c r="C4" s="59" t="s">
        <v>99</v>
      </c>
      <c r="E4" s="12"/>
      <c r="F4" s="103" t="s">
        <v>180</v>
      </c>
      <c r="G4" s="102" t="s">
        <v>175</v>
      </c>
      <c r="H4" s="102" t="s">
        <v>175</v>
      </c>
      <c r="I4" s="102">
        <v>1</v>
      </c>
      <c r="J4" s="102">
        <v>2</v>
      </c>
      <c r="K4" s="102">
        <v>3</v>
      </c>
      <c r="L4" s="102">
        <v>4</v>
      </c>
      <c r="M4" s="102">
        <v>5</v>
      </c>
      <c r="N4" s="102">
        <v>6</v>
      </c>
      <c r="O4" s="102">
        <v>7</v>
      </c>
      <c r="P4" s="102">
        <v>8</v>
      </c>
      <c r="Q4" s="102">
        <v>9</v>
      </c>
      <c r="R4" s="102">
        <v>10</v>
      </c>
      <c r="S4" s="102">
        <v>11</v>
      </c>
      <c r="T4" s="102">
        <v>12</v>
      </c>
      <c r="U4" s="102">
        <v>13</v>
      </c>
      <c r="V4" s="102">
        <v>14</v>
      </c>
      <c r="W4" s="102">
        <v>15</v>
      </c>
      <c r="X4" s="102"/>
    </row>
    <row r="5" spans="1:24" ht="15.75" thickBot="1">
      <c r="A5" s="12" t="s">
        <v>101</v>
      </c>
      <c r="B5"/>
      <c r="C5" s="62">
        <v>15</v>
      </c>
      <c r="E5" s="12"/>
      <c r="F5" s="15"/>
      <c r="G5" s="125">
        <v>2020</v>
      </c>
      <c r="H5" s="125">
        <v>2021</v>
      </c>
      <c r="I5" s="125">
        <v>2022</v>
      </c>
      <c r="J5" s="125">
        <v>2023</v>
      </c>
      <c r="K5" s="125">
        <v>2024</v>
      </c>
      <c r="L5" s="125">
        <v>2025</v>
      </c>
      <c r="M5" s="125">
        <v>2026</v>
      </c>
      <c r="N5" s="125">
        <v>2027</v>
      </c>
      <c r="O5" s="125">
        <v>2028</v>
      </c>
      <c r="P5" s="125">
        <v>2029</v>
      </c>
      <c r="Q5" s="125">
        <v>2030</v>
      </c>
      <c r="R5" s="125">
        <v>2031</v>
      </c>
      <c r="S5" s="125">
        <v>2032</v>
      </c>
      <c r="T5" s="125">
        <v>2033</v>
      </c>
      <c r="U5" s="125">
        <v>2034</v>
      </c>
      <c r="V5" s="125">
        <v>2035</v>
      </c>
      <c r="W5" s="125">
        <v>2036</v>
      </c>
      <c r="X5" s="125">
        <v>2037</v>
      </c>
    </row>
    <row r="6" spans="1:24" ht="15">
      <c r="A6" s="12" t="s">
        <v>102</v>
      </c>
      <c r="B6"/>
      <c r="C6" s="62">
        <v>0</v>
      </c>
      <c r="E6" s="12"/>
      <c r="F6" s="12"/>
      <c r="G6" s="105"/>
      <c r="H6" s="105"/>
      <c r="I6" s="105"/>
      <c r="J6" s="105"/>
      <c r="K6" s="105"/>
      <c r="L6" s="12"/>
      <c r="M6" s="12"/>
      <c r="N6" s="12"/>
      <c r="O6" s="12"/>
      <c r="P6" s="12"/>
      <c r="Q6" s="12"/>
      <c r="R6" s="12"/>
      <c r="S6" s="12"/>
      <c r="T6" s="12"/>
      <c r="U6" s="12"/>
      <c r="V6" s="12"/>
      <c r="W6" s="12"/>
      <c r="X6" s="12"/>
    </row>
    <row r="7" spans="1:24" ht="15">
      <c r="A7" s="12"/>
      <c r="B7"/>
      <c r="C7" s="63"/>
      <c r="E7" s="12"/>
      <c r="F7" s="12" t="s">
        <v>89</v>
      </c>
      <c r="G7" s="105"/>
      <c r="H7" s="105"/>
      <c r="I7" s="105"/>
      <c r="J7" s="105"/>
      <c r="K7" s="105"/>
      <c r="L7" s="12"/>
      <c r="M7" s="12"/>
      <c r="N7" s="12"/>
      <c r="O7" s="12"/>
      <c r="P7" s="12"/>
      <c r="Q7" s="12"/>
      <c r="R7" s="12"/>
      <c r="S7" s="12"/>
      <c r="T7" s="12"/>
      <c r="U7" s="12"/>
      <c r="V7" s="12"/>
      <c r="W7" s="12"/>
      <c r="X7" s="12"/>
    </row>
    <row r="8" spans="1:24" ht="15">
      <c r="A8" s="12"/>
      <c r="B8"/>
      <c r="C8" s="59"/>
      <c r="E8" s="12"/>
      <c r="F8" s="90" t="s">
        <v>93</v>
      </c>
      <c r="G8" s="126">
        <v>97304053.079999998</v>
      </c>
      <c r="H8" s="106"/>
      <c r="I8" s="106"/>
      <c r="J8" s="107"/>
      <c r="K8" s="108"/>
      <c r="L8" s="91"/>
      <c r="M8" s="91"/>
      <c r="N8" s="91"/>
      <c r="O8" s="91"/>
      <c r="P8" s="91"/>
      <c r="Q8" s="91"/>
      <c r="R8" s="91"/>
      <c r="S8" s="91"/>
      <c r="T8" s="91"/>
      <c r="U8" s="91"/>
      <c r="V8" s="91"/>
      <c r="W8" s="91"/>
      <c r="X8" s="91"/>
    </row>
    <row r="9" spans="1:24">
      <c r="A9" s="12"/>
      <c r="B9" s="12"/>
      <c r="C9" s="63"/>
      <c r="E9" s="12"/>
      <c r="F9" s="90" t="s">
        <v>176</v>
      </c>
      <c r="G9" s="126">
        <v>143060.5</v>
      </c>
      <c r="H9" s="106"/>
      <c r="I9" s="106"/>
      <c r="J9" s="107"/>
      <c r="K9" s="108"/>
      <c r="L9" s="91"/>
      <c r="M9" s="91"/>
      <c r="N9" s="91"/>
      <c r="O9" s="91"/>
      <c r="P9" s="91"/>
      <c r="Q9" s="91"/>
      <c r="R9" s="91"/>
      <c r="S9" s="91"/>
      <c r="T9" s="91"/>
      <c r="U9" s="91"/>
      <c r="V9" s="91"/>
      <c r="W9" s="91"/>
      <c r="X9" s="91"/>
    </row>
    <row r="10" spans="1:24" ht="15">
      <c r="A10" s="12"/>
      <c r="B10"/>
      <c r="C10" s="62"/>
      <c r="E10" s="12"/>
      <c r="F10" s="90" t="s">
        <v>177</v>
      </c>
      <c r="G10" s="126">
        <v>78149899.849999979</v>
      </c>
      <c r="H10" s="106"/>
      <c r="I10" s="106" t="e">
        <f>-#REF!*(1+$C$14)^I$4</f>
        <v>#REF!</v>
      </c>
      <c r="J10" s="106" t="e">
        <f>-#REF!*(1+$C$14)^J$4</f>
        <v>#REF!</v>
      </c>
      <c r="K10" s="106" t="e">
        <f>-#REF!*(1+$C$14)^K$4</f>
        <v>#REF!</v>
      </c>
      <c r="L10" s="106" t="e">
        <f>-#REF!*(1+$C$14)^L$4</f>
        <v>#REF!</v>
      </c>
      <c r="M10" s="106" t="e">
        <f>-#REF!*(1+$C$14)^M$4</f>
        <v>#REF!</v>
      </c>
      <c r="N10" s="106" t="e">
        <f>-#REF!*(1+$C$14)^N$4</f>
        <v>#REF!</v>
      </c>
      <c r="O10" s="106" t="e">
        <f>-#REF!*(1+$C$14)^O$4</f>
        <v>#REF!</v>
      </c>
      <c r="P10" s="106" t="e">
        <f>-#REF!*(1+$C$14)^P$4</f>
        <v>#REF!</v>
      </c>
      <c r="Q10" s="106" t="e">
        <f>-#REF!*(1+$C$14)^Q$4</f>
        <v>#REF!</v>
      </c>
      <c r="R10" s="106" t="e">
        <f>-#REF!*(1+$C$14)^R$4</f>
        <v>#REF!</v>
      </c>
      <c r="S10" s="106" t="e">
        <f>-#REF!*(1+$C$14)^S$4</f>
        <v>#REF!</v>
      </c>
      <c r="T10" s="106" t="e">
        <f>-#REF!*(1+$C$14)^T$4</f>
        <v>#REF!</v>
      </c>
      <c r="U10" s="106" t="e">
        <f>-#REF!*(1+$C$14)^U$4</f>
        <v>#REF!</v>
      </c>
      <c r="V10" s="106" t="e">
        <f>-#REF!*(1+$C$14)^V$4</f>
        <v>#REF!</v>
      </c>
      <c r="W10" s="106" t="e">
        <f>-#REF!*(1+$C$14)^W$4</f>
        <v>#REF!</v>
      </c>
      <c r="X10" s="91"/>
    </row>
    <row r="11" spans="1:24" ht="15">
      <c r="A11" s="12"/>
      <c r="B11"/>
      <c r="C11" s="18"/>
      <c r="E11" s="12"/>
      <c r="F11" s="12" t="s">
        <v>7</v>
      </c>
      <c r="G11" s="92">
        <f>SUM(G8:G10)</f>
        <v>175597013.42999998</v>
      </c>
      <c r="H11" s="92">
        <f t="shared" ref="H11:W11" si="0">SUM(H8:H10)</f>
        <v>0</v>
      </c>
      <c r="I11" s="92" t="e">
        <f t="shared" si="0"/>
        <v>#REF!</v>
      </c>
      <c r="J11" s="92" t="e">
        <f t="shared" si="0"/>
        <v>#REF!</v>
      </c>
      <c r="K11" s="92" t="e">
        <f t="shared" si="0"/>
        <v>#REF!</v>
      </c>
      <c r="L11" s="92" t="e">
        <f t="shared" si="0"/>
        <v>#REF!</v>
      </c>
      <c r="M11" s="92" t="e">
        <f t="shared" si="0"/>
        <v>#REF!</v>
      </c>
      <c r="N11" s="92" t="e">
        <f t="shared" si="0"/>
        <v>#REF!</v>
      </c>
      <c r="O11" s="92" t="e">
        <f t="shared" si="0"/>
        <v>#REF!</v>
      </c>
      <c r="P11" s="92" t="e">
        <f t="shared" si="0"/>
        <v>#REF!</v>
      </c>
      <c r="Q11" s="92" t="e">
        <f t="shared" si="0"/>
        <v>#REF!</v>
      </c>
      <c r="R11" s="92" t="e">
        <f t="shared" si="0"/>
        <v>#REF!</v>
      </c>
      <c r="S11" s="92" t="e">
        <f t="shared" si="0"/>
        <v>#REF!</v>
      </c>
      <c r="T11" s="92" t="e">
        <f t="shared" si="0"/>
        <v>#REF!</v>
      </c>
      <c r="U11" s="92" t="e">
        <f t="shared" si="0"/>
        <v>#REF!</v>
      </c>
      <c r="V11" s="92" t="e">
        <f t="shared" si="0"/>
        <v>#REF!</v>
      </c>
      <c r="W11" s="92" t="e">
        <f t="shared" si="0"/>
        <v>#REF!</v>
      </c>
      <c r="X11" s="92"/>
    </row>
    <row r="12" spans="1:24" ht="15.75" thickBot="1">
      <c r="A12" s="25" t="s">
        <v>103</v>
      </c>
      <c r="B12" s="15"/>
      <c r="C12" s="15"/>
      <c r="E12" s="12"/>
      <c r="F12" s="12"/>
      <c r="G12" s="106"/>
      <c r="H12" s="106"/>
      <c r="I12" s="106"/>
      <c r="J12" s="106"/>
      <c r="K12" s="106"/>
      <c r="L12" s="93"/>
      <c r="M12" s="93"/>
      <c r="N12" s="93"/>
      <c r="O12" s="93"/>
      <c r="P12" s="93"/>
      <c r="Q12" s="93"/>
      <c r="R12" s="93"/>
      <c r="S12" s="93"/>
      <c r="T12" s="93"/>
      <c r="U12" s="93"/>
      <c r="V12" s="93"/>
      <c r="W12" s="93"/>
      <c r="X12" s="93"/>
    </row>
    <row r="13" spans="1:24" ht="15">
      <c r="A13" s="25"/>
      <c r="B13"/>
      <c r="C13" s="59"/>
      <c r="E13" s="12"/>
      <c r="F13" s="12" t="s">
        <v>94</v>
      </c>
      <c r="G13" s="106"/>
      <c r="H13" s="106"/>
      <c r="I13" s="107"/>
      <c r="J13" s="107"/>
      <c r="K13" s="106"/>
      <c r="L13" s="93"/>
      <c r="M13" s="93"/>
      <c r="N13" s="93"/>
      <c r="O13" s="93"/>
      <c r="P13" s="93"/>
      <c r="Q13" s="93"/>
      <c r="R13" s="93"/>
      <c r="S13" s="93"/>
      <c r="T13" s="93"/>
      <c r="U13" s="93"/>
      <c r="V13" s="93"/>
      <c r="W13" s="93"/>
      <c r="X13" s="93"/>
    </row>
    <row r="14" spans="1:24" ht="15">
      <c r="A14" s="12" t="s">
        <v>104</v>
      </c>
      <c r="B14"/>
      <c r="C14" s="112">
        <v>0.04</v>
      </c>
      <c r="E14" s="12"/>
      <c r="F14" s="90" t="s">
        <v>176</v>
      </c>
      <c r="G14" s="106"/>
      <c r="H14" s="106"/>
      <c r="I14" s="106" t="e">
        <f>#REF!*(1+$C$14)^I$4</f>
        <v>#REF!</v>
      </c>
      <c r="J14" s="106" t="e">
        <f>#REF!*(1+$C$14)^J$4</f>
        <v>#REF!</v>
      </c>
      <c r="K14" s="106" t="e">
        <f>#REF!*(1+$C$14)^K$4</f>
        <v>#REF!</v>
      </c>
      <c r="L14" s="106" t="e">
        <f>#REF!*(1+$C$14)^L$4</f>
        <v>#REF!</v>
      </c>
      <c r="M14" s="106" t="e">
        <f>#REF!*(1+$C$14)^M$4</f>
        <v>#REF!</v>
      </c>
      <c r="N14" s="106" t="e">
        <f>#REF!*(1+$C$14)^N$4</f>
        <v>#REF!</v>
      </c>
      <c r="O14" s="106" t="e">
        <f>#REF!*(1+$C$14)^O$4</f>
        <v>#REF!</v>
      </c>
      <c r="P14" s="106" t="e">
        <f>#REF!*(1+$C$14)^P$4</f>
        <v>#REF!</v>
      </c>
      <c r="Q14" s="106" t="e">
        <f>#REF!*(1+$C$14)^Q$4</f>
        <v>#REF!</v>
      </c>
      <c r="R14" s="106" t="e">
        <f>#REF!*(1+$C$14)^R$4</f>
        <v>#REF!</v>
      </c>
      <c r="S14" s="106" t="e">
        <f>#REF!*(1+$C$14)^S$4</f>
        <v>#REF!</v>
      </c>
      <c r="T14" s="106" t="e">
        <f>#REF!*(1+$C$14)^T$4</f>
        <v>#REF!</v>
      </c>
      <c r="U14" s="106" t="e">
        <f>#REF!*(1+$C$14)^U$4</f>
        <v>#REF!</v>
      </c>
      <c r="V14" s="106" t="e">
        <f>#REF!*(1+$C$14)^V$4</f>
        <v>#REF!</v>
      </c>
      <c r="W14" s="106" t="e">
        <f>#REF!*(1+$C$14)^W$4</f>
        <v>#REF!</v>
      </c>
      <c r="X14" s="93"/>
    </row>
    <row r="15" spans="1:24" ht="15">
      <c r="A15" s="12" t="s">
        <v>105</v>
      </c>
      <c r="B15"/>
      <c r="C15" s="112">
        <v>0.04</v>
      </c>
      <c r="E15" s="12"/>
      <c r="F15" s="90" t="s">
        <v>106</v>
      </c>
      <c r="G15" s="106"/>
      <c r="H15" s="106"/>
      <c r="I15" s="106" t="e">
        <f>#REF!*(1+$C$16)^I4</f>
        <v>#REF!</v>
      </c>
      <c r="J15" s="106" t="e">
        <f>#REF!*(1+$C$16)^J4</f>
        <v>#REF!</v>
      </c>
      <c r="K15" s="106" t="e">
        <f>#REF!*(1+$C$16)^K4</f>
        <v>#REF!</v>
      </c>
      <c r="L15" s="106" t="e">
        <f>#REF!*(1+$C$16)^L4</f>
        <v>#REF!</v>
      </c>
      <c r="M15" s="106" t="e">
        <f>#REF!*(1+$C$16)^M4</f>
        <v>#REF!</v>
      </c>
      <c r="N15" s="106" t="e">
        <f>#REF!*(1+$C$16)^N4</f>
        <v>#REF!</v>
      </c>
      <c r="O15" s="106" t="e">
        <f>#REF!*(1+$C$16)^O4</f>
        <v>#REF!</v>
      </c>
      <c r="P15" s="106" t="e">
        <f>#REF!*(1+$C$16)^P4</f>
        <v>#REF!</v>
      </c>
      <c r="Q15" s="106" t="e">
        <f>#REF!*(1+$C$16)^Q4</f>
        <v>#REF!</v>
      </c>
      <c r="R15" s="106" t="e">
        <f>#REF!*(1+$C$16)^R4</f>
        <v>#REF!</v>
      </c>
      <c r="S15" s="106" t="e">
        <f>#REF!*(1+$C$16)^S4</f>
        <v>#REF!</v>
      </c>
      <c r="T15" s="106" t="e">
        <f>#REF!*(1+$C$16)^T4</f>
        <v>#REF!</v>
      </c>
      <c r="U15" s="106" t="e">
        <f>#REF!*(1+$C$16)^U4</f>
        <v>#REF!</v>
      </c>
      <c r="V15" s="106" t="e">
        <f>#REF!*(1+$C$16)^V4</f>
        <v>#REF!</v>
      </c>
      <c r="W15" s="106" t="e">
        <f>#REF!*(1+$C$16)^W4</f>
        <v>#REF!</v>
      </c>
      <c r="X15" s="93"/>
    </row>
    <row r="16" spans="1:24" ht="15">
      <c r="A16" s="12" t="s">
        <v>107</v>
      </c>
      <c r="B16"/>
      <c r="C16" s="112">
        <v>0.03</v>
      </c>
      <c r="E16" s="12"/>
      <c r="F16" s="90" t="s">
        <v>181</v>
      </c>
      <c r="G16" s="106"/>
      <c r="H16" s="106"/>
      <c r="I16" s="106" t="e">
        <f>#REF!*(1+$C$15)^I4</f>
        <v>#REF!</v>
      </c>
      <c r="J16" s="106" t="e">
        <f>#REF!*(1+$C$15)^J4</f>
        <v>#REF!</v>
      </c>
      <c r="K16" s="106" t="e">
        <f>#REF!*(1+$C$15)^K4</f>
        <v>#REF!</v>
      </c>
      <c r="L16" s="106" t="e">
        <f>#REF!*(1+$C$15)^L4</f>
        <v>#REF!</v>
      </c>
      <c r="M16" s="106" t="e">
        <f>#REF!*(1+$C$15)^M4</f>
        <v>#REF!</v>
      </c>
      <c r="N16" s="106" t="e">
        <f>#REF!*(1+$C$15)^N4</f>
        <v>#REF!</v>
      </c>
      <c r="O16" s="106" t="e">
        <f>#REF!*(1+$C$15)^O4</f>
        <v>#REF!</v>
      </c>
      <c r="P16" s="106" t="e">
        <f>#REF!*(1+$C$15)^P4</f>
        <v>#REF!</v>
      </c>
      <c r="Q16" s="106" t="e">
        <f>#REF!*(1+$C$15)^Q4</f>
        <v>#REF!</v>
      </c>
      <c r="R16" s="106" t="e">
        <f>#REF!*(1+$C$15)^R4</f>
        <v>#REF!</v>
      </c>
      <c r="S16" s="106" t="e">
        <f>#REF!*(1+$C$15)^S4</f>
        <v>#REF!</v>
      </c>
      <c r="T16" s="106" t="e">
        <f>#REF!*(1+$C$15)^T4</f>
        <v>#REF!</v>
      </c>
      <c r="U16" s="106" t="e">
        <f>#REF!*(1+$C$15)^U4</f>
        <v>#REF!</v>
      </c>
      <c r="V16" s="106" t="e">
        <f>#REF!*(1+$C$15)^V4</f>
        <v>#REF!</v>
      </c>
      <c r="W16" s="106" t="e">
        <f>#REF!*(1+$C$15)^W4</f>
        <v>#REF!</v>
      </c>
      <c r="X16" s="93"/>
    </row>
    <row r="17" spans="1:24" ht="15">
      <c r="A17" s="12"/>
      <c r="B17"/>
      <c r="C17" s="26"/>
      <c r="E17" s="12"/>
      <c r="F17" s="90"/>
      <c r="G17" s="106"/>
      <c r="H17" s="106"/>
      <c r="I17" s="106"/>
      <c r="J17" s="106"/>
      <c r="K17" s="106"/>
      <c r="L17" s="106"/>
      <c r="M17" s="106"/>
      <c r="N17" s="106"/>
      <c r="O17" s="106"/>
      <c r="P17" s="106"/>
      <c r="Q17" s="106"/>
      <c r="R17" s="106"/>
      <c r="S17" s="106"/>
      <c r="T17" s="106"/>
      <c r="U17" s="106"/>
      <c r="V17" s="106"/>
      <c r="W17" s="106"/>
      <c r="X17" s="93"/>
    </row>
    <row r="18" spans="1:24" ht="15">
      <c r="A18" s="12"/>
      <c r="B18"/>
      <c r="C18" s="18"/>
      <c r="E18" s="12"/>
      <c r="F18" s="90"/>
      <c r="G18" s="106"/>
      <c r="H18" s="106"/>
      <c r="I18" s="106"/>
      <c r="J18" s="106"/>
      <c r="K18" s="106"/>
      <c r="L18" s="106"/>
      <c r="M18" s="106"/>
      <c r="N18" s="106"/>
      <c r="O18" s="106"/>
      <c r="P18" s="106"/>
      <c r="Q18" s="106"/>
      <c r="R18" s="106"/>
      <c r="S18" s="106"/>
      <c r="T18" s="106"/>
      <c r="U18" s="106"/>
      <c r="V18" s="106"/>
      <c r="W18" s="106"/>
      <c r="X18" s="93"/>
    </row>
    <row r="19" spans="1:24" ht="15.75" thickBot="1">
      <c r="A19" s="25"/>
      <c r="B19" s="15"/>
      <c r="C19" s="15"/>
      <c r="E19" s="12"/>
      <c r="F19" s="12" t="s">
        <v>7</v>
      </c>
      <c r="G19" s="106"/>
      <c r="H19" s="106"/>
      <c r="I19" s="107" t="e">
        <f t="shared" ref="I19:W19" si="1">SUM(I14:I16)</f>
        <v>#REF!</v>
      </c>
      <c r="J19" s="107" t="e">
        <f t="shared" si="1"/>
        <v>#REF!</v>
      </c>
      <c r="K19" s="106" t="e">
        <f t="shared" si="1"/>
        <v>#REF!</v>
      </c>
      <c r="L19" s="93" t="e">
        <f t="shared" si="1"/>
        <v>#REF!</v>
      </c>
      <c r="M19" s="93" t="e">
        <f t="shared" si="1"/>
        <v>#REF!</v>
      </c>
      <c r="N19" s="93" t="e">
        <f t="shared" si="1"/>
        <v>#REF!</v>
      </c>
      <c r="O19" s="93" t="e">
        <f t="shared" si="1"/>
        <v>#REF!</v>
      </c>
      <c r="P19" s="93" t="e">
        <f t="shared" si="1"/>
        <v>#REF!</v>
      </c>
      <c r="Q19" s="93" t="e">
        <f t="shared" si="1"/>
        <v>#REF!</v>
      </c>
      <c r="R19" s="93" t="e">
        <f t="shared" si="1"/>
        <v>#REF!</v>
      </c>
      <c r="S19" s="93" t="e">
        <f t="shared" si="1"/>
        <v>#REF!</v>
      </c>
      <c r="T19" s="93" t="e">
        <f t="shared" si="1"/>
        <v>#REF!</v>
      </c>
      <c r="U19" s="93" t="e">
        <f t="shared" si="1"/>
        <v>#REF!</v>
      </c>
      <c r="V19" s="93" t="e">
        <f t="shared" si="1"/>
        <v>#REF!</v>
      </c>
      <c r="W19" s="93" t="e">
        <f t="shared" si="1"/>
        <v>#REF!</v>
      </c>
      <c r="X19" s="93"/>
    </row>
    <row r="20" spans="1:24" ht="15">
      <c r="A20" s="25"/>
      <c r="B20"/>
      <c r="C20" s="59"/>
      <c r="E20" s="12"/>
      <c r="F20" s="94" t="s">
        <v>90</v>
      </c>
      <c r="G20" s="109"/>
      <c r="H20" s="109"/>
      <c r="I20" s="109" t="e">
        <f t="shared" ref="I20:W20" si="2">I11-I19</f>
        <v>#REF!</v>
      </c>
      <c r="J20" s="109" t="e">
        <f t="shared" si="2"/>
        <v>#REF!</v>
      </c>
      <c r="K20" s="109" t="e">
        <f t="shared" si="2"/>
        <v>#REF!</v>
      </c>
      <c r="L20" s="95" t="e">
        <f t="shared" si="2"/>
        <v>#REF!</v>
      </c>
      <c r="M20" s="95" t="e">
        <f t="shared" si="2"/>
        <v>#REF!</v>
      </c>
      <c r="N20" s="95" t="e">
        <f t="shared" si="2"/>
        <v>#REF!</v>
      </c>
      <c r="O20" s="95" t="e">
        <f t="shared" si="2"/>
        <v>#REF!</v>
      </c>
      <c r="P20" s="95" t="e">
        <f t="shared" si="2"/>
        <v>#REF!</v>
      </c>
      <c r="Q20" s="95" t="e">
        <f t="shared" si="2"/>
        <v>#REF!</v>
      </c>
      <c r="R20" s="95" t="e">
        <f t="shared" si="2"/>
        <v>#REF!</v>
      </c>
      <c r="S20" s="95" t="e">
        <f t="shared" si="2"/>
        <v>#REF!</v>
      </c>
      <c r="T20" s="95" t="e">
        <f t="shared" si="2"/>
        <v>#REF!</v>
      </c>
      <c r="U20" s="95" t="e">
        <f t="shared" si="2"/>
        <v>#REF!</v>
      </c>
      <c r="V20" s="95" t="e">
        <f t="shared" si="2"/>
        <v>#REF!</v>
      </c>
      <c r="W20" s="95" t="e">
        <f t="shared" si="2"/>
        <v>#REF!</v>
      </c>
      <c r="X20" s="95"/>
    </row>
    <row r="21" spans="1:24" ht="15">
      <c r="A21" s="12"/>
      <c r="B21"/>
      <c r="C21" s="18"/>
      <c r="E21" s="12"/>
      <c r="F21" s="104"/>
      <c r="G21" s="110"/>
      <c r="H21" s="110"/>
      <c r="I21" s="110"/>
      <c r="J21" s="110"/>
      <c r="K21" s="110"/>
      <c r="L21" s="97"/>
      <c r="M21" s="97"/>
      <c r="N21" s="97"/>
      <c r="O21" s="97"/>
      <c r="P21" s="97"/>
      <c r="Q21" s="97"/>
      <c r="R21" s="97"/>
      <c r="S21" s="97"/>
      <c r="T21" s="97"/>
      <c r="U21" s="97"/>
      <c r="V21" s="97"/>
      <c r="W21" s="97"/>
      <c r="X21" s="97"/>
    </row>
    <row r="22" spans="1:24" ht="15">
      <c r="A22" s="12"/>
      <c r="B22"/>
      <c r="C22" s="26"/>
      <c r="E22" s="12"/>
      <c r="F22" s="96" t="s">
        <v>95</v>
      </c>
      <c r="G22" s="106"/>
      <c r="H22" s="106"/>
      <c r="I22" s="106" t="e">
        <f>#REF!</f>
        <v>#REF!</v>
      </c>
      <c r="J22" s="106" t="e">
        <f>#REF!</f>
        <v>#REF!</v>
      </c>
      <c r="K22" s="106" t="e">
        <f>#REF!</f>
        <v>#REF!</v>
      </c>
      <c r="L22" s="106" t="e">
        <f>#REF!</f>
        <v>#REF!</v>
      </c>
      <c r="M22" s="106" t="e">
        <f>#REF!</f>
        <v>#REF!</v>
      </c>
      <c r="N22" s="106" t="e">
        <f>#REF!</f>
        <v>#REF!</v>
      </c>
      <c r="O22" s="106" t="e">
        <f>#REF!</f>
        <v>#REF!</v>
      </c>
      <c r="P22" s="106" t="e">
        <f>#REF!</f>
        <v>#REF!</v>
      </c>
      <c r="Q22" s="106" t="e">
        <f>#REF!</f>
        <v>#REF!</v>
      </c>
      <c r="R22" s="106" t="e">
        <f>#REF!</f>
        <v>#REF!</v>
      </c>
      <c r="S22" s="106" t="e">
        <f>#REF!</f>
        <v>#REF!</v>
      </c>
      <c r="T22" s="106" t="e">
        <f>#REF!</f>
        <v>#REF!</v>
      </c>
      <c r="U22" s="106" t="e">
        <f>#REF!</f>
        <v>#REF!</v>
      </c>
      <c r="V22" s="106" t="e">
        <f>#REF!</f>
        <v>#REF!</v>
      </c>
      <c r="W22" s="106" t="e">
        <f>#REF!</f>
        <v>#REF!</v>
      </c>
      <c r="X22" s="93"/>
    </row>
    <row r="23" spans="1:24" ht="15">
      <c r="A23" s="12"/>
      <c r="B23"/>
      <c r="C23" s="26"/>
      <c r="E23" s="12"/>
      <c r="F23" s="96"/>
      <c r="G23" s="106"/>
      <c r="H23" s="106"/>
      <c r="I23" s="107"/>
      <c r="J23" s="107"/>
      <c r="K23" s="106"/>
      <c r="L23" s="93"/>
      <c r="M23" s="93"/>
      <c r="N23" s="93"/>
      <c r="O23" s="93"/>
      <c r="P23" s="93"/>
      <c r="Q23" s="93"/>
      <c r="R23" s="93"/>
      <c r="S23" s="93"/>
      <c r="T23" s="93"/>
      <c r="U23" s="93"/>
      <c r="V23" s="93"/>
      <c r="W23" s="93"/>
      <c r="X23" s="93"/>
    </row>
    <row r="24" spans="1:24" ht="15">
      <c r="A24" s="12"/>
      <c r="B24"/>
      <c r="C24" s="18"/>
      <c r="E24" s="12"/>
      <c r="F24" s="98" t="s">
        <v>91</v>
      </c>
      <c r="G24" s="111"/>
      <c r="H24" s="111"/>
      <c r="I24" s="111" t="e">
        <f t="shared" ref="I24:W24" si="3">I20-I22</f>
        <v>#REF!</v>
      </c>
      <c r="J24" s="111" t="e">
        <f t="shared" si="3"/>
        <v>#REF!</v>
      </c>
      <c r="K24" s="111" t="e">
        <f t="shared" si="3"/>
        <v>#REF!</v>
      </c>
      <c r="L24" s="111" t="e">
        <f t="shared" si="3"/>
        <v>#REF!</v>
      </c>
      <c r="M24" s="111" t="e">
        <f t="shared" si="3"/>
        <v>#REF!</v>
      </c>
      <c r="N24" s="111" t="e">
        <f t="shared" si="3"/>
        <v>#REF!</v>
      </c>
      <c r="O24" s="111" t="e">
        <f t="shared" si="3"/>
        <v>#REF!</v>
      </c>
      <c r="P24" s="111" t="e">
        <f t="shared" si="3"/>
        <v>#REF!</v>
      </c>
      <c r="Q24" s="111" t="e">
        <f t="shared" si="3"/>
        <v>#REF!</v>
      </c>
      <c r="R24" s="111" t="e">
        <f t="shared" si="3"/>
        <v>#REF!</v>
      </c>
      <c r="S24" s="111" t="e">
        <f t="shared" si="3"/>
        <v>#REF!</v>
      </c>
      <c r="T24" s="111" t="e">
        <f t="shared" si="3"/>
        <v>#REF!</v>
      </c>
      <c r="U24" s="111" t="e">
        <f t="shared" si="3"/>
        <v>#REF!</v>
      </c>
      <c r="V24" s="111" t="e">
        <f t="shared" si="3"/>
        <v>#REF!</v>
      </c>
      <c r="W24" s="111" t="e">
        <f t="shared" si="3"/>
        <v>#REF!</v>
      </c>
      <c r="X24" s="99"/>
    </row>
    <row r="25" spans="1:24" ht="15">
      <c r="A25" s="12"/>
      <c r="B25"/>
      <c r="C25"/>
      <c r="E25" s="12"/>
      <c r="F25" s="96"/>
      <c r="G25" s="106"/>
      <c r="H25" s="106"/>
      <c r="I25" s="106"/>
      <c r="J25" s="106"/>
      <c r="K25" s="106"/>
      <c r="L25" s="93"/>
      <c r="M25" s="93"/>
      <c r="N25" s="93"/>
      <c r="O25" s="93"/>
      <c r="P25" s="93"/>
      <c r="Q25" s="93"/>
      <c r="R25" s="93"/>
      <c r="S25" s="93"/>
      <c r="T25" s="93"/>
      <c r="U25" s="93"/>
      <c r="V25" s="93"/>
      <c r="W25" s="93"/>
      <c r="X25" s="93"/>
    </row>
    <row r="26" spans="1:24">
      <c r="E26" s="12"/>
      <c r="F26" s="96" t="s">
        <v>96</v>
      </c>
      <c r="G26" s="106"/>
      <c r="H26" s="106"/>
      <c r="I26" s="106" t="e">
        <f>(#REF!-$C$6)/$C$5</f>
        <v>#REF!</v>
      </c>
      <c r="J26" s="106" t="e">
        <f>(#REF!-$C$6)/$C$5</f>
        <v>#REF!</v>
      </c>
      <c r="K26" s="106" t="e">
        <f>(#REF!-$C$6)/$C$5</f>
        <v>#REF!</v>
      </c>
      <c r="L26" s="93" t="e">
        <f>(#REF!-$C$6)/$C$5</f>
        <v>#REF!</v>
      </c>
      <c r="M26" s="93" t="e">
        <f>(#REF!-$C$6)/$C$5</f>
        <v>#REF!</v>
      </c>
      <c r="N26" s="93" t="e">
        <f>(#REF!-$C$6)/$C$5</f>
        <v>#REF!</v>
      </c>
      <c r="O26" s="93" t="e">
        <f>(#REF!-$C$6)/$C$5</f>
        <v>#REF!</v>
      </c>
      <c r="P26" s="93" t="e">
        <f>(#REF!-$C$6)/$C$5</f>
        <v>#REF!</v>
      </c>
      <c r="Q26" s="93" t="e">
        <f>(#REF!-$C$6)/$C$5</f>
        <v>#REF!</v>
      </c>
      <c r="R26" s="93" t="e">
        <f>(#REF!-$C$6)/$C$5</f>
        <v>#REF!</v>
      </c>
      <c r="S26" s="93" t="e">
        <f>(#REF!-$C$6)/$C$5</f>
        <v>#REF!</v>
      </c>
      <c r="T26" s="93" t="e">
        <f>(#REF!-$C$6)/$C$5</f>
        <v>#REF!</v>
      </c>
      <c r="U26" s="93" t="e">
        <f>(#REF!-$C$6)/$C$5</f>
        <v>#REF!</v>
      </c>
      <c r="V26" s="93" t="e">
        <f>(#REF!-$C$6)/$C$5</f>
        <v>#REF!</v>
      </c>
      <c r="W26" s="93" t="e">
        <f>(#REF!-$C$6)/$C$5</f>
        <v>#REF!</v>
      </c>
      <c r="X26" s="93"/>
    </row>
    <row r="27" spans="1:24">
      <c r="E27" s="12"/>
      <c r="F27" s="96"/>
      <c r="G27" s="106"/>
      <c r="H27" s="106"/>
      <c r="I27" s="106"/>
      <c r="J27" s="106"/>
      <c r="K27" s="106"/>
      <c r="L27" s="93"/>
      <c r="M27" s="93"/>
      <c r="N27" s="93"/>
      <c r="O27" s="93"/>
      <c r="P27" s="93"/>
      <c r="Q27" s="93"/>
      <c r="R27" s="93"/>
      <c r="S27" s="93"/>
      <c r="T27" s="93"/>
      <c r="U27" s="93"/>
      <c r="V27" s="93"/>
      <c r="W27" s="93"/>
      <c r="X27" s="93"/>
    </row>
    <row r="28" spans="1:24" ht="15">
      <c r="E28" s="12"/>
      <c r="F28" s="94" t="s">
        <v>97</v>
      </c>
      <c r="G28" s="109"/>
      <c r="H28" s="109"/>
      <c r="I28" s="109" t="e">
        <f t="shared" ref="I28:W28" si="4">I24-I26</f>
        <v>#REF!</v>
      </c>
      <c r="J28" s="109" t="e">
        <f t="shared" si="4"/>
        <v>#REF!</v>
      </c>
      <c r="K28" s="109" t="e">
        <f t="shared" si="4"/>
        <v>#REF!</v>
      </c>
      <c r="L28" s="95" t="e">
        <f t="shared" si="4"/>
        <v>#REF!</v>
      </c>
      <c r="M28" s="95" t="e">
        <f t="shared" si="4"/>
        <v>#REF!</v>
      </c>
      <c r="N28" s="95" t="e">
        <f t="shared" si="4"/>
        <v>#REF!</v>
      </c>
      <c r="O28" s="95" t="e">
        <f t="shared" si="4"/>
        <v>#REF!</v>
      </c>
      <c r="P28" s="95" t="e">
        <f t="shared" si="4"/>
        <v>#REF!</v>
      </c>
      <c r="Q28" s="95" t="e">
        <f t="shared" si="4"/>
        <v>#REF!</v>
      </c>
      <c r="R28" s="95" t="e">
        <f t="shared" si="4"/>
        <v>#REF!</v>
      </c>
      <c r="S28" s="95" t="e">
        <f t="shared" si="4"/>
        <v>#REF!</v>
      </c>
      <c r="T28" s="95" t="e">
        <f t="shared" si="4"/>
        <v>#REF!</v>
      </c>
      <c r="U28" s="95" t="e">
        <f t="shared" si="4"/>
        <v>#REF!</v>
      </c>
      <c r="V28" s="95" t="e">
        <f t="shared" si="4"/>
        <v>#REF!</v>
      </c>
      <c r="W28" s="95" t="e">
        <f t="shared" si="4"/>
        <v>#REF!</v>
      </c>
      <c r="X28" s="95"/>
    </row>
    <row r="29" spans="1:24">
      <c r="E29" s="12"/>
      <c r="F29" s="12"/>
      <c r="G29" s="105"/>
      <c r="H29" s="105"/>
      <c r="I29" s="105"/>
      <c r="J29" s="105"/>
      <c r="K29" s="105"/>
      <c r="L29" s="12"/>
      <c r="M29" s="12"/>
      <c r="N29" s="12"/>
      <c r="O29" s="12"/>
      <c r="P29" s="12"/>
      <c r="Q29" s="12"/>
      <c r="R29" s="12"/>
      <c r="S29" s="12"/>
      <c r="T29" s="12"/>
      <c r="U29" s="12"/>
      <c r="V29" s="12"/>
      <c r="W29" s="12"/>
      <c r="X29" s="12"/>
    </row>
    <row r="30" spans="1:24">
      <c r="F30" s="12"/>
      <c r="G30" s="105"/>
      <c r="H30" s="105"/>
      <c r="I30" s="105"/>
      <c r="J30" s="105"/>
      <c r="K30" s="105"/>
      <c r="L30" s="12"/>
      <c r="M30" s="12"/>
      <c r="N30" s="12"/>
      <c r="O30" s="12"/>
      <c r="P30" s="12"/>
      <c r="Q30" s="12"/>
      <c r="R30" s="12"/>
      <c r="S30" s="12"/>
      <c r="T30" s="12"/>
      <c r="U30" s="12"/>
      <c r="V30" s="12"/>
      <c r="W30" s="12"/>
      <c r="X30" s="12"/>
    </row>
    <row r="31" spans="1:24">
      <c r="G31" s="100"/>
      <c r="H31" s="100"/>
      <c r="I31" s="100"/>
      <c r="J31" s="100"/>
      <c r="K31" s="101"/>
      <c r="L31" s="101"/>
      <c r="M31" s="101"/>
      <c r="N31" s="101"/>
      <c r="O31" s="101"/>
      <c r="P31" s="101"/>
      <c r="Q31" s="101"/>
      <c r="R31" s="101"/>
      <c r="S31" s="101"/>
      <c r="T31" s="101"/>
      <c r="U31" s="101"/>
      <c r="V31" s="101"/>
      <c r="W31" s="101"/>
      <c r="X31" s="101"/>
    </row>
    <row r="32" spans="1:24">
      <c r="G32" s="100"/>
      <c r="H32" s="100"/>
      <c r="I32" s="100"/>
      <c r="J32" s="100"/>
      <c r="K32" s="101"/>
      <c r="L32" s="101"/>
      <c r="M32" s="101"/>
      <c r="N32" s="101"/>
      <c r="O32" s="101"/>
      <c r="P32" s="101"/>
      <c r="Q32" s="101"/>
      <c r="R32" s="101"/>
      <c r="S32" s="101"/>
      <c r="T32" s="101"/>
      <c r="U32" s="101"/>
      <c r="V32" s="101"/>
      <c r="W32" s="101"/>
      <c r="X32" s="101"/>
    </row>
    <row r="33" spans="7:24">
      <c r="G33" s="100"/>
      <c r="H33" s="100"/>
      <c r="I33" s="100"/>
      <c r="J33" s="100"/>
      <c r="K33" s="101"/>
      <c r="L33" s="101"/>
      <c r="M33" s="101"/>
      <c r="N33" s="101"/>
      <c r="O33" s="101"/>
      <c r="P33" s="101"/>
      <c r="Q33" s="101"/>
      <c r="R33" s="101"/>
      <c r="S33" s="101"/>
      <c r="T33" s="101"/>
      <c r="U33" s="101"/>
      <c r="V33" s="101"/>
      <c r="W33" s="101"/>
      <c r="X33" s="101"/>
    </row>
    <row r="34" spans="7:24">
      <c r="G34" s="100"/>
      <c r="H34" s="100"/>
      <c r="I34" s="100"/>
      <c r="J34" s="100"/>
      <c r="K34" s="101"/>
      <c r="L34" s="101"/>
      <c r="M34" s="101"/>
      <c r="N34" s="101"/>
      <c r="O34" s="101"/>
      <c r="P34" s="101"/>
      <c r="Q34" s="101"/>
      <c r="R34" s="101"/>
      <c r="S34" s="101"/>
      <c r="T34" s="101"/>
      <c r="U34" s="101"/>
      <c r="V34" s="101"/>
      <c r="W34" s="101"/>
      <c r="X34" s="101"/>
    </row>
  </sheetData>
  <mergeCells count="2">
    <mergeCell ref="G2:H2"/>
    <mergeCell ref="I2:W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4a94bf17-982c-40b6-b48e-ae47908c8990">
      <Terms xmlns="http://schemas.microsoft.com/office/infopath/2007/PartnerControls"/>
    </lcf76f155ced4ddcb4097134ff3c332f>
    <Comments xmlns="4a94bf17-982c-40b6-b48e-ae47908c8990" xsi:nil="true"/>
    <Contents xmlns="4a94bf17-982c-40b6-b48e-ae47908c899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64DFA64E6EA73499C3BC87A5F3EB02D" ma:contentTypeVersion="14" ma:contentTypeDescription="Create a new document." ma:contentTypeScope="" ma:versionID="58a24eb8ad7d39733cbb99e7c2b28747">
  <xsd:schema xmlns:xsd="http://www.w3.org/2001/XMLSchema" xmlns:xs="http://www.w3.org/2001/XMLSchema" xmlns:p="http://schemas.microsoft.com/office/2006/metadata/properties" xmlns:ns2="4a94bf17-982c-40b6-b48e-ae47908c8990" xmlns:ns3="f6f10ef2-13a4-44f4-adf9-fdb8cce0146f" targetNamespace="http://schemas.microsoft.com/office/2006/metadata/properties" ma:root="true" ma:fieldsID="8243e8f74522c6bab9a03d1031fcf7f7" ns2:_="" ns3:_="">
    <xsd:import namespace="4a94bf17-982c-40b6-b48e-ae47908c8990"/>
    <xsd:import namespace="f6f10ef2-13a4-44f4-adf9-fdb8cce0146f"/>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2:MediaServiceDateTaken" minOccurs="0"/>
                <xsd:element ref="ns2:MediaLengthInSeconds" minOccurs="0"/>
                <xsd:element ref="ns3:SharedWithUsers" minOccurs="0"/>
                <xsd:element ref="ns3:SharedWithDetails" minOccurs="0"/>
                <xsd:element ref="ns2:Contents" minOccurs="0"/>
                <xsd:element ref="ns2:Comments" minOccurs="0"/>
                <xsd:element ref="ns2:MediaServiceObjectDetectorVersions" minOccurs="0"/>
                <xsd:element ref="ns2:MediaServiceSearchProperties"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94bf17-982c-40b6-b48e-ae47908c899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36d454c5-8e2b-4179-b12f-116ec47db55c" ma:termSetId="09814cd3-568e-fe90-9814-8d621ff8fb84" ma:anchorId="fba54fb3-c3e1-fe81-a776-ca4b69148c4d" ma:open="true" ma:isKeyword="false">
      <xsd:complexType>
        <xsd:sequence>
          <xsd:element ref="pc:Terms" minOccurs="0" maxOccurs="1"/>
        </xsd:sequence>
      </xsd:complex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Contents" ma:index="16" nillable="true" ma:displayName="Contents" ma:format="Dropdown" ma:internalName="Contents">
      <xsd:simpleType>
        <xsd:restriction base="dms:Text">
          <xsd:maxLength value="255"/>
        </xsd:restriction>
      </xsd:simpleType>
    </xsd:element>
    <xsd:element name="Comments" ma:index="17" nillable="true" ma:displayName="Comments" ma:format="Dropdown" ma:internalName="Comments">
      <xsd:simpleType>
        <xsd:restriction base="dms:Text">
          <xsd:maxLength value="255"/>
        </xsd:restriction>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6f10ef2-13a4-44f4-adf9-fdb8cce0146f"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9D60348-83A6-4B1C-9D5A-6806F91A09C0}">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4a94bf17-982c-40b6-b48e-ae47908c8990"/>
    <ds:schemaRef ds:uri="http://purl.org/dc/elements/1.1/"/>
    <ds:schemaRef ds:uri="f6f10ef2-13a4-44f4-adf9-fdb8cce0146f"/>
    <ds:schemaRef ds:uri="http://www.w3.org/XML/1998/namespace"/>
    <ds:schemaRef ds:uri="http://purl.org/dc/dcmitype/"/>
  </ds:schemaRefs>
</ds:datastoreItem>
</file>

<file path=customXml/itemProps2.xml><?xml version="1.0" encoding="utf-8"?>
<ds:datastoreItem xmlns:ds="http://schemas.openxmlformats.org/officeDocument/2006/customXml" ds:itemID="{DFDB5778-2213-4F9D-8B43-D00C8180E4C2}">
  <ds:schemaRefs>
    <ds:schemaRef ds:uri="http://schemas.microsoft.com/sharepoint/v3/contenttype/forms"/>
  </ds:schemaRefs>
</ds:datastoreItem>
</file>

<file path=customXml/itemProps3.xml><?xml version="1.0" encoding="utf-8"?>
<ds:datastoreItem xmlns:ds="http://schemas.openxmlformats.org/officeDocument/2006/customXml" ds:itemID="{C3A60CEC-F69C-4388-B3FD-7792923016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a94bf17-982c-40b6-b48e-ae47908c8990"/>
    <ds:schemaRef ds:uri="f6f10ef2-13a4-44f4-adf9-fdb8cce014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63</vt:i4>
      </vt:variant>
    </vt:vector>
  </HeadingPairs>
  <TitlesOfParts>
    <vt:vector size="91" baseType="lpstr">
      <vt:lpstr>IS Analysis Full</vt:lpstr>
      <vt:lpstr>IS Old</vt:lpstr>
      <vt:lpstr>Objectives</vt:lpstr>
      <vt:lpstr>Questions</vt:lpstr>
      <vt:lpstr>Cash Flow Old</vt:lpstr>
      <vt:lpstr>MACRS DEP Tables</vt:lpstr>
      <vt:lpstr>PowerPoint Formatting</vt:lpstr>
      <vt:lpstr>Gant Chart Old</vt:lpstr>
      <vt:lpstr>Single Liability Background</vt:lpstr>
      <vt:lpstr>Single Liability Match</vt:lpstr>
      <vt:lpstr>HIC Background</vt:lpstr>
      <vt:lpstr>Hedging Instrument Comparisons</vt:lpstr>
      <vt:lpstr>Life Insurance Model</vt:lpstr>
      <vt:lpstr>Life Insurance Model Background</vt:lpstr>
      <vt:lpstr>Dashboard</vt:lpstr>
      <vt:lpstr>Plan CFs</vt:lpstr>
      <vt:lpstr>Assets</vt:lpstr>
      <vt:lpstr>Liabilities</vt:lpstr>
      <vt:lpstr>Overlay</vt:lpstr>
      <vt:lpstr>Mortality Table</vt:lpstr>
      <vt:lpstr>US Data Center Statistics</vt:lpstr>
      <vt:lpstr>Helper Sheet</vt:lpstr>
      <vt:lpstr>Maintenance Oldl</vt:lpstr>
      <vt:lpstr>Accessories</vt:lpstr>
      <vt:lpstr>SAT 46 LB CO</vt:lpstr>
      <vt:lpstr>LB Burn Hour Info</vt:lpstr>
      <vt:lpstr>Storage Analysis</vt:lpstr>
      <vt:lpstr>IS Analysis Isolated</vt:lpstr>
      <vt:lpstr>ass_dif</vt:lpstr>
      <vt:lpstr>ass_diff</vt:lpstr>
      <vt:lpstr>'HIC Background'!ass_irr</vt:lpstr>
      <vt:lpstr>ass_irr</vt:lpstr>
      <vt:lpstr>'Single Liability Background'!ass_irr2</vt:lpstr>
      <vt:lpstr>ass_irr2</vt:lpstr>
      <vt:lpstr>Assets!b1_owned</vt:lpstr>
      <vt:lpstr>b1_owned</vt:lpstr>
      <vt:lpstr>bpv_per_1</vt:lpstr>
      <vt:lpstr>bpv_per_2</vt:lpstr>
      <vt:lpstr>bpv_per_3</vt:lpstr>
      <vt:lpstr>bpv_per_4</vt:lpstr>
      <vt:lpstr>change</vt:lpstr>
      <vt:lpstr>change_a</vt:lpstr>
      <vt:lpstr>discount_rate</vt:lpstr>
      <vt:lpstr>dur_gap</vt:lpstr>
      <vt:lpstr>lia_diff</vt:lpstr>
      <vt:lpstr>'Hedging Instrument Comparisons'!lia_irr</vt:lpstr>
      <vt:lpstr>'HIC Background'!lia_irr</vt:lpstr>
      <vt:lpstr>Overlay!lia_irr</vt:lpstr>
      <vt:lpstr>lia_irr</vt:lpstr>
      <vt:lpstr>np_1</vt:lpstr>
      <vt:lpstr>np_2</vt:lpstr>
      <vt:lpstr>np_3</vt:lpstr>
      <vt:lpstr>np_4</vt:lpstr>
      <vt:lpstr>npv_ass</vt:lpstr>
      <vt:lpstr>npv_assets</vt:lpstr>
      <vt:lpstr>npv_bonds</vt:lpstr>
      <vt:lpstr>npv_liab</vt:lpstr>
      <vt:lpstr>npv_premiums</vt:lpstr>
      <vt:lpstr>og_bpv</vt:lpstr>
      <vt:lpstr>og_bpv_2</vt:lpstr>
      <vt:lpstr>og_bpv_3</vt:lpstr>
      <vt:lpstr>og_bpv_4</vt:lpstr>
      <vt:lpstr>og_np</vt:lpstr>
      <vt:lpstr>og_np_2</vt:lpstr>
      <vt:lpstr>og_np_3</vt:lpstr>
      <vt:lpstr>og_np_4</vt:lpstr>
      <vt:lpstr>og_prem</vt:lpstr>
      <vt:lpstr>og_prem_2</vt:lpstr>
      <vt:lpstr>og_prem_3</vt:lpstr>
      <vt:lpstr>og_prem_4</vt:lpstr>
      <vt:lpstr>og_x</vt:lpstr>
      <vt:lpstr>og_x_2</vt:lpstr>
      <vt:lpstr>og_x_3</vt:lpstr>
      <vt:lpstr>og_x_4</vt:lpstr>
      <vt:lpstr>prem_1</vt:lpstr>
      <vt:lpstr>prem_2</vt:lpstr>
      <vt:lpstr>prem_3</vt:lpstr>
      <vt:lpstr>prem_4</vt:lpstr>
      <vt:lpstr>pv_down</vt:lpstr>
      <vt:lpstr>pv_down_a</vt:lpstr>
      <vt:lpstr>pv_down_b</vt:lpstr>
      <vt:lpstr>pv_down_pre</vt:lpstr>
      <vt:lpstr>pv_up</vt:lpstr>
      <vt:lpstr>pv_up_a</vt:lpstr>
      <vt:lpstr>pv_up_b</vt:lpstr>
      <vt:lpstr>pv_up_pre</vt:lpstr>
      <vt:lpstr>x_1</vt:lpstr>
      <vt:lpstr>x_2</vt:lpstr>
      <vt:lpstr>x_3</vt:lpstr>
      <vt:lpstr>x_4</vt:lpstr>
      <vt:lpstr>yield_curve_changes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Keyser</dc:creator>
  <cp:lastModifiedBy>Jason Keyser</cp:lastModifiedBy>
  <cp:lastPrinted>2024-06-05T17:48:13Z</cp:lastPrinted>
  <dcterms:created xsi:type="dcterms:W3CDTF">2022-01-31T17:07:57Z</dcterms:created>
  <dcterms:modified xsi:type="dcterms:W3CDTF">2024-06-05T18:16:34Z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bfce600-f216-4cc7-aafe-0b1d064b8218_Enabled">
    <vt:lpwstr>true</vt:lpwstr>
  </property>
  <property fmtid="{D5CDD505-2E9C-101B-9397-08002B2CF9AE}" pid="3" name="MSIP_Label_3bfce600-f216-4cc7-aafe-0b1d064b8218_SetDate">
    <vt:lpwstr>2022-01-31T17:07:57Z</vt:lpwstr>
  </property>
  <property fmtid="{D5CDD505-2E9C-101B-9397-08002B2CF9AE}" pid="4" name="MSIP_Label_3bfce600-f216-4cc7-aafe-0b1d064b8218_Method">
    <vt:lpwstr>Standard</vt:lpwstr>
  </property>
  <property fmtid="{D5CDD505-2E9C-101B-9397-08002B2CF9AE}" pid="5" name="MSIP_Label_3bfce600-f216-4cc7-aafe-0b1d064b8218_Name">
    <vt:lpwstr>General</vt:lpwstr>
  </property>
  <property fmtid="{D5CDD505-2E9C-101B-9397-08002B2CF9AE}" pid="6" name="MSIP_Label_3bfce600-f216-4cc7-aafe-0b1d064b8218_SiteId">
    <vt:lpwstr>dbf4e8fa-62e2-48df-a79d-40d357e3b3d8</vt:lpwstr>
  </property>
  <property fmtid="{D5CDD505-2E9C-101B-9397-08002B2CF9AE}" pid="7" name="MSIP_Label_3bfce600-f216-4cc7-aafe-0b1d064b8218_ActionId">
    <vt:lpwstr>f2945730-552e-4da2-b8ac-1d411cbf89c8</vt:lpwstr>
  </property>
  <property fmtid="{D5CDD505-2E9C-101B-9397-08002B2CF9AE}" pid="8" name="MSIP_Label_3bfce600-f216-4cc7-aafe-0b1d064b8218_ContentBits">
    <vt:lpwstr>0</vt:lpwstr>
  </property>
  <property fmtid="{D5CDD505-2E9C-101B-9397-08002B2CF9AE}" pid="9" name="ContentTypeId">
    <vt:lpwstr>0x010100C64DFA64E6EA73499C3BC87A5F3EB02D</vt:lpwstr>
  </property>
  <property fmtid="{D5CDD505-2E9C-101B-9397-08002B2CF9AE}" pid="10" name="MediaServiceImageTags">
    <vt:lpwstr/>
  </property>
</Properties>
</file>